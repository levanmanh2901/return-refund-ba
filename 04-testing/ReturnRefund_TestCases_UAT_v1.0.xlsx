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ownloads\return-refund-ba\04-testing\"/>
    </mc:Choice>
  </mc:AlternateContent>
  <xr:revisionPtr revIDLastSave="0" documentId="13_ncr:1_{2C97BB30-7094-4DCC-9470-C60C5C4CB98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Hướng dẫn" sheetId="1" r:id="rId1"/>
    <sheet name="Summary" sheetId="2" r:id="rId2"/>
    <sheet name="Test Scenarios" sheetId="3" r:id="rId3"/>
    <sheet name="Test Cases" sheetId="4" r:id="rId4"/>
    <sheet name="UAT Checklist" sheetId="5" r:id="rId5"/>
    <sheet name="Defect Log" sheetId="6" r:id="rId6"/>
  </sheets>
  <definedNames>
    <definedName name="_xlnm._FilterDatabase" localSheetId="3" hidden="1">'Test Cases'!$A$4:$Q$33</definedName>
    <definedName name="_xlnm._FilterDatabase" localSheetId="2" hidden="1">'Test Scenarios'!$A$4:$G$13</definedName>
    <definedName name="_xlnm._FilterDatabase" localSheetId="4" hidden="1">'UAT Checklist'!$A$4:$H$12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2" l="1"/>
  <c r="B37" i="2"/>
  <c r="C36" i="2"/>
  <c r="B36" i="2"/>
  <c r="C35" i="2"/>
  <c r="B35" i="2"/>
  <c r="C34" i="2"/>
  <c r="B40" i="2" s="1"/>
  <c r="B41" i="2" s="1"/>
  <c r="B34" i="2"/>
  <c r="E29" i="2"/>
  <c r="D29" i="2"/>
  <c r="C29" i="2"/>
  <c r="E28" i="2"/>
  <c r="D28" i="2"/>
  <c r="C28" i="2"/>
  <c r="E27" i="2"/>
  <c r="D27" i="2"/>
  <c r="C27" i="2"/>
  <c r="E26" i="2"/>
  <c r="D26" i="2"/>
  <c r="C26" i="2"/>
  <c r="C21" i="2"/>
  <c r="C20" i="2"/>
  <c r="C19" i="2"/>
  <c r="C18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C13" i="2" s="1"/>
  <c r="G13" i="3"/>
  <c r="G12" i="3"/>
  <c r="G11" i="3"/>
  <c r="G10" i="3"/>
  <c r="G9" i="3"/>
  <c r="G8" i="3"/>
  <c r="G7" i="3"/>
  <c r="G6" i="3"/>
  <c r="G5" i="3"/>
  <c r="B29" i="2"/>
  <c r="B28" i="2"/>
  <c r="B27" i="2"/>
  <c r="B26" i="2"/>
  <c r="B21" i="2"/>
  <c r="B20" i="2"/>
  <c r="B19" i="2"/>
  <c r="B18" i="2"/>
  <c r="B12" i="2"/>
  <c r="B11" i="2"/>
  <c r="B10" i="2"/>
  <c r="B9" i="2"/>
  <c r="B8" i="2"/>
  <c r="B7" i="2"/>
  <c r="B6" i="2"/>
  <c r="G10" i="2" l="1"/>
  <c r="D13" i="2"/>
  <c r="G12" i="2"/>
  <c r="G9" i="2"/>
  <c r="G11" i="2"/>
  <c r="G8" i="2"/>
  <c r="B13" i="2"/>
  <c r="G13" i="2" s="1"/>
  <c r="E13" i="2"/>
  <c r="F13" i="2"/>
  <c r="G6" i="2"/>
  <c r="G7" i="2"/>
</calcChain>
</file>

<file path=xl/sharedStrings.xml><?xml version="1.0" encoding="utf-8"?>
<sst xmlns="http://schemas.openxmlformats.org/spreadsheetml/2006/main" count="588" uniqueCount="334">
  <si>
    <t>Mục đích</t>
  </si>
  <si>
    <t>Summary</t>
  </si>
  <si>
    <t>Tổng hợp tự động kết quả test theo module, tiến độ UAT và số lỗi theo mức độ</t>
  </si>
  <si>
    <t>Test Scenarios</t>
  </si>
  <si>
    <t>16 kịch bản kiểm thử, liên kết User Story</t>
  </si>
  <si>
    <t>Test Cases</t>
  </si>
  <si>
    <t>Test case chi tiết: điều kiện, các bước, dữ liệu, kết quả mong đợi. Cập nhật cột Kết quả thực tế, Trạng thái, Người test, Ngày test khi chạy</t>
  </si>
  <si>
    <t>UAT Checklist</t>
  </si>
  <si>
    <t>Kịch bản UAT theo ngôn ngữ nghiệp vụ cho từng vai trò (xem thêm RR-UAT-001)</t>
  </si>
  <si>
    <t>Defect Log</t>
  </si>
  <si>
    <t>Ghi nhận lỗi: mô tả, bước tái hiện, mức độ, người xử lý</t>
  </si>
  <si>
    <t>Ô nền vàng nhạt</t>
  </si>
  <si>
    <t>Cột cập nhật khi thực hiện test; chọn giá trị từ danh sách thả xuống</t>
  </si>
  <si>
    <t>Trạng thái test</t>
  </si>
  <si>
    <t>Mức độ lỗi</t>
  </si>
  <si>
    <t>Trạng thái hiện tại</t>
  </si>
  <si>
    <t>Dự án ở giai đoạn thiết kế, chưa có bản build nên toàn bộ test case ở trạng thái Not Run. Test case có ghi chú "Chờ OQ-xx" cần cập nhật kết quả mong đợi khi câu hỏi mở được trả lời.</t>
  </si>
  <si>
    <t>TỔNG HỢP KẾT QUẢ KIỂM THỬ</t>
  </si>
  <si>
    <t>1. Test case theo module</t>
  </si>
  <si>
    <t>Module</t>
  </si>
  <si>
    <t>Tổng</t>
  </si>
  <si>
    <t>Pass</t>
  </si>
  <si>
    <t>Fail</t>
  </si>
  <si>
    <t>Blocked</t>
  </si>
  <si>
    <t>Not Run</t>
  </si>
  <si>
    <t>% Pass</t>
  </si>
  <si>
    <t>Hoàn tiền</t>
  </si>
  <si>
    <t>Phân quyền &amp; bảo mật</t>
  </si>
  <si>
    <t>2. Test case theo mức ưu tiên</t>
  </si>
  <si>
    <t>Ưu tiên</t>
  </si>
  <si>
    <t>Số TC</t>
  </si>
  <si>
    <t>Critical</t>
  </si>
  <si>
    <t>High</t>
  </si>
  <si>
    <t>Medium</t>
  </si>
  <si>
    <t>Low</t>
  </si>
  <si>
    <t>3. Tiến độ UAT</t>
  </si>
  <si>
    <t>Vai trò</t>
  </si>
  <si>
    <t>Đạt</t>
  </si>
  <si>
    <t>Không đạt</t>
  </si>
  <si>
    <t>Chưa test</t>
  </si>
  <si>
    <t>Khách hàng</t>
  </si>
  <si>
    <t>CSKH</t>
  </si>
  <si>
    <t>Kho / Cửa hàng</t>
  </si>
  <si>
    <t>Kế toán</t>
  </si>
  <si>
    <t>4. Lỗi theo mức độ (không tính dòng ví dụ)</t>
  </si>
  <si>
    <t>Mức độ</t>
  </si>
  <si>
    <t>Đang mở</t>
  </si>
  <si>
    <t>5. Tiêu chí kết thúc UAT</t>
  </si>
  <si>
    <t>Lỗi Critical/High còn mở</t>
  </si>
  <si>
    <t>Kết luận</t>
  </si>
  <si>
    <t>DANH SÁCH KỊCH BẢN KIỂM THỬ (TEST SCENARIOS)</t>
  </si>
  <si>
    <t>TS ID</t>
  </si>
  <si>
    <t>Kịch bản</t>
  </si>
  <si>
    <t>Loại</t>
  </si>
  <si>
    <t>User Story / FR</t>
  </si>
  <si>
    <t>Số test case</t>
  </si>
  <si>
    <t>TS-01</t>
  </si>
  <si>
    <t>Hiển thị đúng sản phẩm còn/hết hạn trả hàng</t>
  </si>
  <si>
    <t>Positive + Boundary</t>
  </si>
  <si>
    <t>US-01</t>
  </si>
  <si>
    <t>TS-02</t>
  </si>
  <si>
    <t>Tạo yêu cầu thành công và chặn khi thiếu thông tin</t>
  </si>
  <si>
    <t>Positive + Negative</t>
  </si>
  <si>
    <t>TS-03</t>
  </si>
  <si>
    <t>Kiểm tra quy tắc minh chứng</t>
  </si>
  <si>
    <t>Negative / Boundary</t>
  </si>
  <si>
    <t>TS-04</t>
  </si>
  <si>
    <t>Tính đúng số tiền hoàn với voucher và phí</t>
  </si>
  <si>
    <t>Positive / Edge</t>
  </si>
  <si>
    <t>US-02</t>
  </si>
  <si>
    <t>TS-05</t>
  </si>
  <si>
    <t>Theo dõi, hủy yêu cầu và nhận thông báo</t>
  </si>
  <si>
    <t>Positive</t>
  </si>
  <si>
    <t>US-03</t>
  </si>
  <si>
    <t>TS-06</t>
  </si>
  <si>
    <t>CSKH duyệt / từ chối, cảnh báo quá hạn SLA</t>
  </si>
  <si>
    <t>US-04</t>
  </si>
  <si>
    <t>TS-07</t>
  </si>
  <si>
    <t>Kho kiểm tra hàng, phát hiện IMEI không khớp</t>
  </si>
  <si>
    <t>US-05</t>
  </si>
  <si>
    <t>TS-08</t>
  </si>
  <si>
    <t>Hoàn tiền tự động, xử lý API lỗi, chống hoàn trùng</t>
  </si>
  <si>
    <t>US-06</t>
  </si>
  <si>
    <t>TS-09</t>
  </si>
  <si>
    <t>Phân quyền và bảo mật dữ liệu</t>
  </si>
  <si>
    <t>Negative (Security)</t>
  </si>
  <si>
    <t>NFR-03, NFR-04</t>
  </si>
  <si>
    <t>TEST CASES</t>
  </si>
  <si>
    <t>TC ID</t>
  </si>
  <si>
    <t>Tiêu đề</t>
  </si>
  <si>
    <t>Điều kiện tiên quyết</t>
  </si>
  <si>
    <t>Các bước thực hiện</t>
  </si>
  <si>
    <t>Dữ liệu test</t>
  </si>
  <si>
    <t>Kết quả mong đợi</t>
  </si>
  <si>
    <t>Kết quả thực tế</t>
  </si>
  <si>
    <t>Trạng thái</t>
  </si>
  <si>
    <t>User Story</t>
  </si>
  <si>
    <t>Business Rule / NFR</t>
  </si>
  <si>
    <t>Người test</t>
  </si>
  <si>
    <t>Ngày test</t>
  </si>
  <si>
    <t>Defect ID</t>
  </si>
  <si>
    <t>Ghi chú</t>
  </si>
  <si>
    <t>TC-01.1</t>
  </si>
  <si>
    <t>Hàng lỗi giao đúng 7 ngày trước được phép trả</t>
  </si>
  <si>
    <t>KH đã đăng nhập App; đơn online trạng thái "Giao thành công"</t>
  </si>
  <si>
    <t>1. Mở chi tiết đơn hàng
2. Bấm "Yêu cầu trả hàng"
3. Quan sát sản phẩm</t>
  </si>
  <si>
    <t>Ngày giao = hôm nay − 7 ngày; lý do: Lỗi kỹ thuật</t>
  </si>
  <si>
    <t>Sản phẩm hiển thị bình thường, chọn được</t>
  </si>
  <si>
    <t>RULE-01</t>
  </si>
  <si>
    <t>Boundary</t>
  </si>
  <si>
    <t>TC-01.2</t>
  </si>
  <si>
    <t>Hàng lỗi giao 8 ngày trước bị chặn</t>
  </si>
  <si>
    <t>Ngày giao = hôm nay − 8 ngày</t>
  </si>
  <si>
    <t>Sản phẩm mờ, hiển thị MSG02 "Đã hết hạn trả hàng (7 ngày)"</t>
  </si>
  <si>
    <t>Boundary; chờ OQ-01</t>
  </si>
  <si>
    <t>TC-01.3</t>
  </si>
  <si>
    <t>Sản phẩm không áp dụng trả hàng</t>
  </si>
  <si>
    <t>1. Mở chi tiết đơn hàng
2. Bấm "Yêu cầu trả hàng"</t>
  </si>
  <si>
    <t>Đơn có SIM số</t>
  </si>
  <si>
    <t>SIM hiển thị mờ kèm MSG03</t>
  </si>
  <si>
    <t>RULE-02</t>
  </si>
  <si>
    <t>TC-02.1</t>
  </si>
  <si>
    <t>Tạo yêu cầu trả hàng thành công</t>
  </si>
  <si>
    <t>1. Mở chi tiết đơn hàng
2. Bấm "Yêu cầu trả hàng"
3. Chọn SP, lý do Lỗi kỹ thuật
4. Tải 2 ảnh
5. Chọn shipper lấy hàng, hoàn về ví
6. Xác nhận, bấm "Gửi yêu cầu"</t>
  </si>
  <si>
    <t>Tai nghe 1.500.000đ, giao 2 ngày trước</t>
  </si>
  <si>
    <t>Tạo mã RR-xxxxxx, trạng thái "Đã gửi", hiển thị M6, KH nhận MSG08</t>
  </si>
  <si>
    <t>RULE-03, RULE-04</t>
  </si>
  <si>
    <t>TC-02.2</t>
  </si>
  <si>
    <t>Chặn khi chưa chọn lý do</t>
  </si>
  <si>
    <t>1. Mở chi tiết đơn hàng
2. Bấm "Yêu cầu trả hàng"
3. Chọn sản phẩm, bỏ trống lý do
4. Bấm "Tiếp tục"</t>
  </si>
  <si>
    <t>—</t>
  </si>
  <si>
    <t>Hiển thị MSG01, không chuyển bước</t>
  </si>
  <si>
    <t>RULE-04</t>
  </si>
  <si>
    <t>TC-02.3</t>
  </si>
  <si>
    <t>Tên chủ tài khoản khác tên người mua</t>
  </si>
  <si>
    <t>KH đã đăng nhập App; đơn online trạng thái "Giao thành công"; đơn thanh toán COD</t>
  </si>
  <si>
    <t>1. Mở chi tiết đơn hàng
2. Bấm "Yêu cầu trả hàng"
3. Chọn hoàn về tài khoản ngân hàng
4. Nhập tài khoản đứng tên người khác</t>
  </si>
  <si>
    <t>Người mua: Nguyễn Văn A; chủ TK: Trần Thị B</t>
  </si>
  <si>
    <t>Hiển thị MSG07, không cho tiếp tục</t>
  </si>
  <si>
    <t>RULE-10</t>
  </si>
  <si>
    <t>TC-03.1</t>
  </si>
  <si>
    <t>Lý do lỗi bắt buộc ít nhất 1 ảnh</t>
  </si>
  <si>
    <t>1. Mở chi tiết đơn hàng
2. Bấm "Yêu cầu trả hàng"
3. Chọn lý do "Lỗi kỹ thuật"
4. Không tải ảnh, bấm "Tiếp tục"</t>
  </si>
  <si>
    <t>0 ảnh</t>
  </si>
  <si>
    <t>Hiển thị MSG04, không chuyển bước</t>
  </si>
  <si>
    <t>RULE-05</t>
  </si>
  <si>
    <t>TC-03.2</t>
  </si>
  <si>
    <t>Ảnh 5,1MB bị từ chối</t>
  </si>
  <si>
    <t>1. Mở chi tiết đơn hàng
2. Bấm "Yêu cầu trả hàng"
3. Tải ảnh</t>
  </si>
  <si>
    <t>Ảnh JPG 5,1MB</t>
  </si>
  <si>
    <t>Hiển thị MSG05</t>
  </si>
  <si>
    <t>NFR-02</t>
  </si>
  <si>
    <t>TC-03.3</t>
  </si>
  <si>
    <t>Ảnh định dạng HEIC từ iPhone</t>
  </si>
  <si>
    <t>1. Mở chi tiết đơn hàng
2. Bấm "Yêu cầu trả hàng"
3. Tải ảnh HEIC</t>
  </si>
  <si>
    <t>Ảnh HEIC 2MB</t>
  </si>
  <si>
    <t>Chưa xác định</t>
  </si>
  <si>
    <t>Chờ OQ-03</t>
  </si>
  <si>
    <t>TC-04.1</t>
  </si>
  <si>
    <t>Trả ốp lưng, đổi ý, shipper lấy</t>
  </si>
  <si>
    <t>KH đã đăng nhập App; đơn online trạng thái "Giao thành công"; Đơn: điện thoại 8.000.000đ + ốp lưng 2.000.000đ; voucher đơn 1.000.000đ</t>
  </si>
  <si>
    <t>1. Mở chi tiết đơn hàng
2. Bấm "Yêu cầu trả hàng"
3. Chọn sản phẩm, lý do, hình thức gửi hàng
4. Đến màn hình Xác nhận, đọc bảng tiền hoàn</t>
  </si>
  <si>
    <t>Ốp lưng; Đổi ý; Shipper</t>
  </si>
  <si>
    <t>Hoàn 1.770.000đ (2.000.000 − 200.000 − 30.000)</t>
  </si>
  <si>
    <t>RULE-08, RULE-11</t>
  </si>
  <si>
    <t>TC-04.2</t>
  </si>
  <si>
    <t>Trả ốp lưng, đổi ý, mang ra cửa hàng</t>
  </si>
  <si>
    <t>Ốp lưng; Đổi ý; Cửa hàng</t>
  </si>
  <si>
    <t>Hoàn 1.800.000đ (miễn phí vận chuyển)</t>
  </si>
  <si>
    <t>TC-04.3</t>
  </si>
  <si>
    <t>Trả cả hai sản phẩm do lỗi</t>
  </si>
  <si>
    <t>Cả 2 SP; Lỗi kỹ thuật</t>
  </si>
  <si>
    <t>Hoàn 9.000.000đ</t>
  </si>
  <si>
    <t>RULE-11</t>
  </si>
  <si>
    <t>TC-04.4</t>
  </si>
  <si>
    <t>Phân bổ voucher không chia hết</t>
  </si>
  <si>
    <t>KH đã đăng nhập App; đơn online trạng thái "Giao thành công"; đơn 3 SP × 1.000.000đ, voucher 100.000đ</t>
  </si>
  <si>
    <t>Trả 1 SP; Lỗi kỹ thuật</t>
  </si>
  <si>
    <t>Hoàn 966.667đ; tổng phân bổ 3 SP = đúng 100.000đ</t>
  </si>
  <si>
    <t>Chờ OQ-02</t>
  </si>
  <si>
    <t>TC-04.5</t>
  </si>
  <si>
    <t>Trả tiếp sản phẩm thứ hai sau lần trả trước</t>
  </si>
  <si>
    <t>KH đã đăng nhập App; đơn online trạng thái "Giao thành công"; Đơn: điện thoại 8.000.000đ + ốp lưng 2.000.000đ; voucher đơn 1.000.000đ; ốp lưng đã được hoàn tiền</t>
  </si>
  <si>
    <t>Điện thoại; Lỗi kỹ thuật</t>
  </si>
  <si>
    <t>Hoàn 7.200.000đ; không trừ lại phần voucher đã phân bổ cho ốp lưng</t>
  </si>
  <si>
    <t>Edge case</t>
  </si>
  <si>
    <t>TC-05.1</t>
  </si>
  <si>
    <t>Nhận thông báo khi yêu cầu được duyệt</t>
  </si>
  <si>
    <t>KH có yêu cầu "Đã gửi"; bật thông báo</t>
  </si>
  <si>
    <t>1. CSKH duyệt yêu cầu trên Admin
2. Quan sát điện thoại KH</t>
  </si>
  <si>
    <t>KH nhận MSG09 trong vòng 1 phút</t>
  </si>
  <si>
    <t>RULE-13, NFR-07</t>
  </si>
  <si>
    <t>TC-05.2</t>
  </si>
  <si>
    <t>Hiển thị lý do khi bị từ chối</t>
  </si>
  <si>
    <t>Yêu cầu đã bị CSKH từ chối</t>
  </si>
  <si>
    <t>1. Mở chi tiết yêu cầu</t>
  </si>
  <si>
    <t>Lý do: Ảnh không thể hiện lỗi</t>
  </si>
  <si>
    <t>Hiển thị đúng lý do CSKH đã nhập</t>
  </si>
  <si>
    <t>RULE-13</t>
  </si>
  <si>
    <t>TC-05.3</t>
  </si>
  <si>
    <t>Khách hủy yêu cầu khi chưa gửi hàng</t>
  </si>
  <si>
    <t>Yêu cầu "Đã duyệt", chưa gửi hàng</t>
  </si>
  <si>
    <t>1. Mở chi tiết yêu cầu
2. Bấm "Hủy yêu cầu", xác nhận MSG17</t>
  </si>
  <si>
    <t>Trạng thái "Đã hủy"; hủy lịch lấy hàng</t>
  </si>
  <si>
    <t>RULE-07</t>
  </si>
  <si>
    <t>TC-06.1</t>
  </si>
  <si>
    <t>Duyệt yêu cầu thành công</t>
  </si>
  <si>
    <t>CSKH đăng nhập; yêu cầu "Đã gửi", KH chọn shipper</t>
  </si>
  <si>
    <t>1. Mở chi tiết yêu cầu (A2)
2. Bấm "Duyệt", xác nhận</t>
  </si>
  <si>
    <t>RR-000123</t>
  </si>
  <si>
    <t>Trạng thái "Đã duyệt"; tạo mã trả hàng; đặt lịch lấy hàng; KH nhận MSG09</t>
  </si>
  <si>
    <t>RULE-06, RULE-07</t>
  </si>
  <si>
    <t>TC-06.2</t>
  </si>
  <si>
    <t>Từ chối không nhập lý do</t>
  </si>
  <si>
    <t>CSKH đăng nhập; yêu cầu "Đã gửi"</t>
  </si>
  <si>
    <t>1. Bấm "Từ chối"
2. Bỏ trống lý do, bấm xác nhận</t>
  </si>
  <si>
    <t>Hiển thị MSG11, không cho xác nhận</t>
  </si>
  <si>
    <t>TC-06.3</t>
  </si>
  <si>
    <t>Cảnh báo khi quá hạn 24h</t>
  </si>
  <si>
    <t>Yêu cầu "Đã gửi" tạo lúc 09:00 hôm qua</t>
  </si>
  <si>
    <t>1. Chờ đến 09:01 hôm nay
2. Kiểm tra thông báo của Trưởng CSKH</t>
  </si>
  <si>
    <t>Trưởng CSKH nhận MSG18</t>
  </si>
  <si>
    <t>RULE-06</t>
  </si>
  <si>
    <t>TC-07.1</t>
  </si>
  <si>
    <t>Quét mã trả hàng hợp lệ</t>
  </si>
  <si>
    <t>Nhân viên kho đăng nhập tablet; yêu cầu "Đã duyệt"</t>
  </si>
  <si>
    <t>1. Mở màn hình tiếp nhận
2. Quét mã trên kiện</t>
  </si>
  <si>
    <t>RET-7XK29Q</t>
  </si>
  <si>
    <t>Hiển thị yêu cầu và checklist; trạng thái "Đã nhận hàng"</t>
  </si>
  <si>
    <t>RULE-09</t>
  </si>
  <si>
    <t>TC-07.2</t>
  </si>
  <si>
    <t>IMEI không khớp đơn hàng</t>
  </si>
  <si>
    <t>Đã quét mã hợp lệ</t>
  </si>
  <si>
    <t>1. Nhập IMEI thực tế
2. Thử chọn "Đạt"</t>
  </si>
  <si>
    <t>IMEI khác IMEI trên đơn</t>
  </si>
  <si>
    <t>Hiển thị MSG13; nút "Đạt" bị khóa</t>
  </si>
  <si>
    <t>TC-07.3</t>
  </si>
  <si>
    <t>Không đạt nhưng chưa có ảnh</t>
  </si>
  <si>
    <t>1. Chọn "Không đạt"
2. Không đính kèm ảnh, bấm xác nhận</t>
  </si>
  <si>
    <t>Hiển thị MSG14, không cho xác nhận</t>
  </si>
  <si>
    <t>TC-08.1</t>
  </si>
  <si>
    <t>Hoàn tiền về ví Điện Máy Cam</t>
  </si>
  <si>
    <t>Yêu cầu đạt kiểm tra; nơi nhận: ví</t>
  </si>
  <si>
    <t>1. Xác nhận kết quả "Đạt"
2. Kiểm tra số dư ví KH</t>
  </si>
  <si>
    <t>1.770.000đ</t>
  </si>
  <si>
    <t>Ví cộng 1.770.000đ trong 24h; trạng thái "Đã hoàn tiền"; KH nhận MSG15</t>
  </si>
  <si>
    <t>RULE-10, RULE-12</t>
  </si>
  <si>
    <t>TC-08.2</t>
  </si>
  <si>
    <t>API lỗi cả 3 lần</t>
  </si>
  <si>
    <t>Sandbox cổng thanh toán cấu hình lỗi liên tục</t>
  </si>
  <si>
    <t>1. Kích hoạt hoàn tiền</t>
  </si>
  <si>
    <t>Trạng thái "Hoàn tiền lỗi"; tạo tác vụ cho Kế toán; MSG16</t>
  </si>
  <si>
    <t>RULE-12</t>
  </si>
  <si>
    <t>TC-08.3</t>
  </si>
  <si>
    <t>API timeout nhưng đối tác đã hoàn tiền</t>
  </si>
  <si>
    <t>Sandbox: timeout phía hệ thống, giao dịch thành công phía đối tác</t>
  </si>
  <si>
    <t>1. Kích hoạt hoàn tiền
2. Quan sát lần thử lại</t>
  </si>
  <si>
    <t>Hệ thống truy vấn trạng thái giao dịch trước khi thử lại; không hoàn lần 2</t>
  </si>
  <si>
    <t>Chờ OQ-04; chống hoàn trùng</t>
  </si>
  <si>
    <t>TC-08.4</t>
  </si>
  <si>
    <t>Sự kiện "kiểm tra đạt" gửi 2 lần</t>
  </si>
  <si>
    <t>Kho bấm xác nhận "Đạt" 2 lần liên tiếp</t>
  </si>
  <si>
    <t>1. Bấm "Đạt" 2 lần (double click)</t>
  </si>
  <si>
    <t>Chỉ tạo 1 giao dịch hoàn tiền</t>
  </si>
  <si>
    <t>Chống hoàn trùng</t>
  </si>
  <si>
    <t>TC-09.1</t>
  </si>
  <si>
    <t>Kho không truy cập được màn hình duyệt</t>
  </si>
  <si>
    <t>Đăng nhập tài khoản vai trò Kho</t>
  </si>
  <si>
    <t>1. Truy cập URL màn hình duyệt yêu cầu</t>
  </si>
  <si>
    <t>Báo không có quyền (403)</t>
  </si>
  <si>
    <t>NFR-04</t>
  </si>
  <si>
    <t>Security</t>
  </si>
  <si>
    <t>TC-09.2</t>
  </si>
  <si>
    <t>Che số tài khoản ngân hàng</t>
  </si>
  <si>
    <t>Đăng nhập tài khoản Kế toán</t>
  </si>
  <si>
    <t>1. Mở giao dịch hoàn tiền qua chuyển khoản</t>
  </si>
  <si>
    <t>STK 0123456789</t>
  </si>
  <si>
    <t>Chỉ hiển thị 4 số cuối (******6789)</t>
  </si>
  <si>
    <t>NFR-03</t>
  </si>
  <si>
    <t>UAT CHECKLIST</t>
  </si>
  <si>
    <t>ID</t>
  </si>
  <si>
    <t>Tình huống</t>
  </si>
  <si>
    <t>Kết quả</t>
  </si>
  <si>
    <t>U-01</t>
  </si>
  <si>
    <t>Tạo yêu cầu trả tai nghe bị rè, gửi kèm 2 ảnh</t>
  </si>
  <si>
    <t>Nhận mã yêu cầu, thấy trạng thái "Đã gửi"</t>
  </si>
  <si>
    <t>U-02</t>
  </si>
  <si>
    <t>Trả ốp lưng trong đơn có voucher</t>
  </si>
  <si>
    <t>Thấy rõ số tiền hoàn và các khoản bị trừ, hiểu được cách tính</t>
  </si>
  <si>
    <t>U-03</t>
  </si>
  <si>
    <t>Theo dõi yêu cầu từ lúc gửi đến khi nhận tiền</t>
  </si>
  <si>
    <t>Nhận thông báo ở mỗi bước, không cần gọi hotline</t>
  </si>
  <si>
    <t>U-04</t>
  </si>
  <si>
    <t>Duyệt 10 yêu cầu liên tiếp</t>
  </si>
  <si>
    <t>Xem được đầy đủ ảnh, duyệt mỗi yêu cầu &lt; 2 phút</t>
  </si>
  <si>
    <t>U-05</t>
  </si>
  <si>
    <t>Từ chối yêu cầu có ảnh mờ</t>
  </si>
  <si>
    <t>Hệ thống bắt nhập lý do; khách thấy đúng lý do</t>
  </si>
  <si>
    <t>U-06</t>
  </si>
  <si>
    <t>Nhận kiện hàng, quét mã bằng tablet</t>
  </si>
  <si>
    <t>Thấy ngay thông tin yêu cầu và checklist</t>
  </si>
  <si>
    <t>U-07</t>
  </si>
  <si>
    <t>Hàng có IMEI khác đơn</t>
  </si>
  <si>
    <t>Hệ thống cảnh báo, không cho chọn "Đạt"</t>
  </si>
  <si>
    <t>U-08</t>
  </si>
  <si>
    <t>Xử lý giao dịch hoàn tiền lỗi và đối chiếu với sandbox cổng thanh toán</t>
  </si>
  <si>
    <t>Thấy danh sách giao dịch lỗi; số tiền và mã giao dịch khớp sau khi xử lý</t>
  </si>
  <si>
    <t>DEFECT LOG</t>
  </si>
  <si>
    <t>Ngày phát hiện</t>
  </si>
  <si>
    <t>Người phát hiện</t>
  </si>
  <si>
    <t>TC / UAT ID</t>
  </si>
  <si>
    <t>Tiêu đề lỗi</t>
  </si>
  <si>
    <t>Bước tái hiện</t>
  </si>
  <si>
    <t>Người xử lý</t>
  </si>
  <si>
    <t>Ngày đóng</t>
  </si>
  <si>
    <t>DEF-EX</t>
  </si>
  <si>
    <t>(Ví dụ)</t>
  </si>
  <si>
    <t>QA</t>
  </si>
  <si>
    <t>Tiền hoàn không trừ phí vận chuyển khi đổi ý qua shipper</t>
  </si>
  <si>
    <t>1. Tạo yêu cầu trả ốp lưng, lý do Đổi ý
2. Chọn shipper lấy hàng
3. Xem bảng tiền hoàn ở bước Xác nhận</t>
  </si>
  <si>
    <t>1.800.000đ</t>
  </si>
  <si>
    <t>Open</t>
  </si>
  <si>
    <t>Dev</t>
  </si>
  <si>
    <t>Dòng DEF-EX là ví dụ minh họa cách ghi lỗi, không tính vào Summary. Xóa dòng này khi bắt đầu ghi lỗi thật.</t>
  </si>
  <si>
    <t>Not Run: chưa chạy - Pass: đạt - Fail: không đạt (ghi Defect ID) - Blocked: không chạy được do lỗi khác hoặc chờ làm rõ yêu cầu</t>
  </si>
  <si>
    <t>Critical: chặn luồng chính hoặc sai tiền - High: sai nghiệp vụ quan trọng, có cách làm tạm - Medium: ảnh hưởng trải nghiệm - Low: lỗi hiển thị, chính tả</t>
  </si>
  <si>
    <t>TEST CASES &amp; UAT - HƯỚNG DẪN SỬ DỤNG</t>
  </si>
  <si>
    <t>Dự án: Tính năng Trả hàng &amp; Hoàn tiền - Công ty Điện Máy Cam  |  Mã: RR-TC-001  |  Phiên bản 1.0  |  Cập nhật: 21/08/2026  |  Người soạn: Lê Văn Mạnh (BA)</t>
  </si>
  <si>
    <t>Quản lý kịch bản kiểm thử, test case, checklist UAT và lỗi phát sinh của dự án. Test case được viết từ Acceptance Criteria (sheet User Stories - file RequirementsList) và Business Rules (SRS mục 3.5).</t>
  </si>
  <si>
    <t>App - Tạo yêu cầu</t>
  </si>
  <si>
    <t>App - Tính tiền hoàn</t>
  </si>
  <si>
    <t>App - Theo dõi</t>
  </si>
  <si>
    <t>Admin - CSKH</t>
  </si>
  <si>
    <t>Admin -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</si>
</sst>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C55A11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C55A11"/>
      <name val="Arial"/>
      <family val="2"/>
    </font>
    <font>
      <b/>
      <sz val="10"/>
      <color rgb="FFFFFFFF"/>
      <name val="Arial"/>
      <family val="2"/>
    </font>
    <font>
      <i/>
      <sz val="10"/>
      <color rgb="FF7F7F7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5D6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8">
    <dxf>
      <fill>
        <patternFill>
          <bgColor rgb="FFF2F2F2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FBE5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showGridLines="0" zoomScaleNormal="100" workbookViewId="0">
      <selection activeCell="I9" sqref="I9"/>
    </sheetView>
  </sheetViews>
  <sheetFormatPr defaultColWidth="8.6640625" defaultRowHeight="14.4" x14ac:dyDescent="0.3"/>
  <cols>
    <col min="1" max="1" width="20" customWidth="1"/>
    <col min="2" max="2" width="80" customWidth="1"/>
  </cols>
  <sheetData>
    <row r="1" spans="1:2" ht="17.399999999999999" x14ac:dyDescent="0.3">
      <c r="A1" s="2" t="s">
        <v>326</v>
      </c>
    </row>
    <row r="2" spans="1:2" x14ac:dyDescent="0.3">
      <c r="A2" s="3" t="s">
        <v>327</v>
      </c>
    </row>
    <row r="4" spans="1:2" ht="31.5" customHeight="1" x14ac:dyDescent="0.3">
      <c r="A4" s="4" t="s">
        <v>0</v>
      </c>
      <c r="B4" s="22" t="s">
        <v>328</v>
      </c>
    </row>
    <row r="5" spans="1:2" ht="31.5" customHeight="1" x14ac:dyDescent="0.3">
      <c r="A5" s="4" t="s">
        <v>1</v>
      </c>
      <c r="B5" s="5" t="s">
        <v>2</v>
      </c>
    </row>
    <row r="6" spans="1:2" ht="31.5" customHeight="1" x14ac:dyDescent="0.3">
      <c r="A6" s="4" t="s">
        <v>3</v>
      </c>
      <c r="B6" s="5" t="s">
        <v>4</v>
      </c>
    </row>
    <row r="7" spans="1:2" ht="31.5" customHeight="1" x14ac:dyDescent="0.3">
      <c r="A7" s="4" t="s">
        <v>5</v>
      </c>
      <c r="B7" s="5" t="s">
        <v>6</v>
      </c>
    </row>
    <row r="8" spans="1:2" ht="31.5" customHeight="1" x14ac:dyDescent="0.3">
      <c r="A8" s="4" t="s">
        <v>7</v>
      </c>
      <c r="B8" s="5" t="s">
        <v>8</v>
      </c>
    </row>
    <row r="9" spans="1:2" ht="31.5" customHeight="1" x14ac:dyDescent="0.3">
      <c r="A9" s="4" t="s">
        <v>9</v>
      </c>
      <c r="B9" s="5" t="s">
        <v>10</v>
      </c>
    </row>
    <row r="10" spans="1:2" ht="31.5" customHeight="1" x14ac:dyDescent="0.3">
      <c r="A10" s="6" t="s">
        <v>11</v>
      </c>
      <c r="B10" s="5" t="s">
        <v>12</v>
      </c>
    </row>
    <row r="11" spans="1:2" ht="31.5" customHeight="1" x14ac:dyDescent="0.3">
      <c r="A11" s="4" t="s">
        <v>13</v>
      </c>
      <c r="B11" s="22" t="s">
        <v>324</v>
      </c>
    </row>
    <row r="12" spans="1:2" ht="31.5" customHeight="1" x14ac:dyDescent="0.3">
      <c r="A12" s="4" t="s">
        <v>14</v>
      </c>
      <c r="B12" s="5" t="s">
        <v>325</v>
      </c>
    </row>
    <row r="13" spans="1:2" ht="31.5" customHeight="1" x14ac:dyDescent="0.3">
      <c r="A13" s="4" t="s">
        <v>15</v>
      </c>
      <c r="B13" s="22" t="s">
        <v>16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6" width="9" customWidth="1"/>
    <col min="7" max="7" width="11" customWidth="1"/>
    <col min="8" max="8" width="4" customWidth="1"/>
  </cols>
  <sheetData>
    <row r="1" spans="1:7" ht="17.399999999999999" x14ac:dyDescent="0.3">
      <c r="A1" s="2" t="s">
        <v>17</v>
      </c>
    </row>
    <row r="2" spans="1:7" x14ac:dyDescent="0.3">
      <c r="A2" s="3" t="s">
        <v>327</v>
      </c>
    </row>
    <row r="4" spans="1:7" x14ac:dyDescent="0.3">
      <c r="A4" s="7" t="s">
        <v>18</v>
      </c>
    </row>
    <row r="5" spans="1:7" x14ac:dyDescent="0.3">
      <c r="A5" s="8" t="s">
        <v>19</v>
      </c>
      <c r="B5" s="8" t="s">
        <v>20</v>
      </c>
      <c r="C5" s="8" t="s">
        <v>21</v>
      </c>
      <c r="D5" s="8" t="s">
        <v>22</v>
      </c>
      <c r="E5" s="8" t="s">
        <v>23</v>
      </c>
      <c r="F5" s="8" t="s">
        <v>24</v>
      </c>
      <c r="G5" s="8" t="s">
        <v>25</v>
      </c>
    </row>
    <row r="6" spans="1:7" x14ac:dyDescent="0.3">
      <c r="A6" s="9" t="s">
        <v>329</v>
      </c>
      <c r="B6" s="10">
        <f>COUNTIF('Test Cases'!$C$5:$C$300,A6)</f>
        <v>9</v>
      </c>
      <c r="C6" s="10">
        <f>COUNTIFS('Test Cases'!$C$5:$C$300,$A6,'Test Cases'!$J$5:$J$300,"Pass")</f>
        <v>0</v>
      </c>
      <c r="D6" s="10">
        <f>COUNTIFS('Test Cases'!$C$5:$C$300,$A6,'Test Cases'!$J$5:$J$300,"Fail")</f>
        <v>0</v>
      </c>
      <c r="E6" s="10">
        <f>COUNTIFS('Test Cases'!$C$5:$C$300,$A6,'Test Cases'!$J$5:$J$300,"Blocked")</f>
        <v>0</v>
      </c>
      <c r="F6" s="10">
        <f>COUNTIFS('Test Cases'!$C$5:$C$300,$A6,'Test Cases'!$J$5:$J$300,"Not Run")</f>
        <v>9</v>
      </c>
      <c r="G6" s="11">
        <f t="shared" ref="G6:G13" si="0">IFERROR(C6/B6,0)</f>
        <v>0</v>
      </c>
    </row>
    <row r="7" spans="1:7" x14ac:dyDescent="0.3">
      <c r="A7" s="9" t="s">
        <v>330</v>
      </c>
      <c r="B7" s="10">
        <f>COUNTIF('Test Cases'!$C$5:$C$300,A7)</f>
        <v>5</v>
      </c>
      <c r="C7" s="10">
        <f>COUNTIFS('Test Cases'!$C$5:$C$300,$A7,'Test Cases'!$J$5:$J$300,"Pass")</f>
        <v>0</v>
      </c>
      <c r="D7" s="10">
        <f>COUNTIFS('Test Cases'!$C$5:$C$300,$A7,'Test Cases'!$J$5:$J$300,"Fail")</f>
        <v>0</v>
      </c>
      <c r="E7" s="10">
        <f>COUNTIFS('Test Cases'!$C$5:$C$300,$A7,'Test Cases'!$J$5:$J$300,"Blocked")</f>
        <v>0</v>
      </c>
      <c r="F7" s="10">
        <f>COUNTIFS('Test Cases'!$C$5:$C$300,$A7,'Test Cases'!$J$5:$J$300,"Not Run")</f>
        <v>5</v>
      </c>
      <c r="G7" s="11">
        <f t="shared" si="0"/>
        <v>0</v>
      </c>
    </row>
    <row r="8" spans="1:7" x14ac:dyDescent="0.3">
      <c r="A8" s="9" t="s">
        <v>331</v>
      </c>
      <c r="B8" s="10">
        <f>COUNTIF('Test Cases'!$C$5:$C$300,A8)</f>
        <v>3</v>
      </c>
      <c r="C8" s="10">
        <f>COUNTIFS('Test Cases'!$C$5:$C$300,$A8,'Test Cases'!$J$5:$J$300,"Pass")</f>
        <v>0</v>
      </c>
      <c r="D8" s="10">
        <f>COUNTIFS('Test Cases'!$C$5:$C$300,$A8,'Test Cases'!$J$5:$J$300,"Fail")</f>
        <v>0</v>
      </c>
      <c r="E8" s="10">
        <f>COUNTIFS('Test Cases'!$C$5:$C$300,$A8,'Test Cases'!$J$5:$J$300,"Blocked")</f>
        <v>0</v>
      </c>
      <c r="F8" s="10">
        <f>COUNTIFS('Test Cases'!$C$5:$C$300,$A8,'Test Cases'!$J$5:$J$300,"Not Run")</f>
        <v>3</v>
      </c>
      <c r="G8" s="11">
        <f t="shared" si="0"/>
        <v>0</v>
      </c>
    </row>
    <row r="9" spans="1:7" x14ac:dyDescent="0.3">
      <c r="A9" s="9" t="s">
        <v>332</v>
      </c>
      <c r="B9" s="10">
        <f>COUNTIF('Test Cases'!$C$5:$C$300,A9)</f>
        <v>3</v>
      </c>
      <c r="C9" s="10">
        <f>COUNTIFS('Test Cases'!$C$5:$C$300,$A9,'Test Cases'!$J$5:$J$300,"Pass")</f>
        <v>0</v>
      </c>
      <c r="D9" s="10">
        <f>COUNTIFS('Test Cases'!$C$5:$C$300,$A9,'Test Cases'!$J$5:$J$300,"Fail")</f>
        <v>0</v>
      </c>
      <c r="E9" s="10">
        <f>COUNTIFS('Test Cases'!$C$5:$C$300,$A9,'Test Cases'!$J$5:$J$300,"Blocked")</f>
        <v>0</v>
      </c>
      <c r="F9" s="10">
        <f>COUNTIFS('Test Cases'!$C$5:$C$300,$A9,'Test Cases'!$J$5:$J$300,"Not Run")</f>
        <v>3</v>
      </c>
      <c r="G9" s="11">
        <f t="shared" si="0"/>
        <v>0</v>
      </c>
    </row>
    <row r="10" spans="1:7" x14ac:dyDescent="0.3">
      <c r="A10" s="9" t="s">
        <v>333</v>
      </c>
      <c r="B10" s="10">
        <f>COUNTIF('Test Cases'!$C$5:$C$300,A10)</f>
        <v>3</v>
      </c>
      <c r="C10" s="10">
        <f>COUNTIFS('Test Cases'!$C$5:$C$300,$A10,'Test Cases'!$J$5:$J$300,"Pass")</f>
        <v>0</v>
      </c>
      <c r="D10" s="10">
        <f>COUNTIFS('Test Cases'!$C$5:$C$300,$A10,'Test Cases'!$J$5:$J$300,"Fail")</f>
        <v>0</v>
      </c>
      <c r="E10" s="10">
        <f>COUNTIFS('Test Cases'!$C$5:$C$300,$A10,'Test Cases'!$J$5:$J$300,"Blocked")</f>
        <v>0</v>
      </c>
      <c r="F10" s="10">
        <f>COUNTIFS('Test Cases'!$C$5:$C$300,$A10,'Test Cases'!$J$5:$J$300,"Not Run")</f>
        <v>3</v>
      </c>
      <c r="G10" s="11">
        <f t="shared" si="0"/>
        <v>0</v>
      </c>
    </row>
    <row r="11" spans="1:7" x14ac:dyDescent="0.3">
      <c r="A11" s="9" t="s">
        <v>26</v>
      </c>
      <c r="B11" s="10">
        <f>COUNTIF('Test Cases'!$C$5:$C$300,A11)</f>
        <v>4</v>
      </c>
      <c r="C11" s="10">
        <f>COUNTIFS('Test Cases'!$C$5:$C$300,$A11,'Test Cases'!$J$5:$J$300,"Pass")</f>
        <v>0</v>
      </c>
      <c r="D11" s="10">
        <f>COUNTIFS('Test Cases'!$C$5:$C$300,$A11,'Test Cases'!$J$5:$J$300,"Fail")</f>
        <v>0</v>
      </c>
      <c r="E11" s="10">
        <f>COUNTIFS('Test Cases'!$C$5:$C$300,$A11,'Test Cases'!$J$5:$J$300,"Blocked")</f>
        <v>0</v>
      </c>
      <c r="F11" s="10">
        <f>COUNTIFS('Test Cases'!$C$5:$C$300,$A11,'Test Cases'!$J$5:$J$300,"Not Run")</f>
        <v>4</v>
      </c>
      <c r="G11" s="11">
        <f t="shared" si="0"/>
        <v>0</v>
      </c>
    </row>
    <row r="12" spans="1:7" x14ac:dyDescent="0.3">
      <c r="A12" s="9" t="s">
        <v>27</v>
      </c>
      <c r="B12" s="10">
        <f>COUNTIF('Test Cases'!$C$5:$C$300,A12)</f>
        <v>2</v>
      </c>
      <c r="C12" s="10">
        <f>COUNTIFS('Test Cases'!$C$5:$C$300,$A12,'Test Cases'!$J$5:$J$300,"Pass")</f>
        <v>0</v>
      </c>
      <c r="D12" s="10">
        <f>COUNTIFS('Test Cases'!$C$5:$C$300,$A12,'Test Cases'!$J$5:$J$300,"Fail")</f>
        <v>0</v>
      </c>
      <c r="E12" s="10">
        <f>COUNTIFS('Test Cases'!$C$5:$C$300,$A12,'Test Cases'!$J$5:$J$300,"Blocked")</f>
        <v>0</v>
      </c>
      <c r="F12" s="10">
        <f>COUNTIFS('Test Cases'!$C$5:$C$300,$A12,'Test Cases'!$J$5:$J$300,"Not Run")</f>
        <v>2</v>
      </c>
      <c r="G12" s="11">
        <f t="shared" si="0"/>
        <v>0</v>
      </c>
    </row>
    <row r="13" spans="1:7" x14ac:dyDescent="0.3">
      <c r="A13" s="12" t="s">
        <v>20</v>
      </c>
      <c r="B13" s="13">
        <f>SUM(B6:B12)</f>
        <v>29</v>
      </c>
      <c r="C13" s="13">
        <f>SUM(C6:C12)</f>
        <v>0</v>
      </c>
      <c r="D13" s="13">
        <f>SUM(D6:D12)</f>
        <v>0</v>
      </c>
      <c r="E13" s="13">
        <f>SUM(E6:E12)</f>
        <v>0</v>
      </c>
      <c r="F13" s="13">
        <f>SUM(F6:F12)</f>
        <v>29</v>
      </c>
      <c r="G13" s="14">
        <f t="shared" si="0"/>
        <v>0</v>
      </c>
    </row>
    <row r="16" spans="1:7" x14ac:dyDescent="0.3">
      <c r="A16" s="7" t="s">
        <v>28</v>
      </c>
    </row>
    <row r="17" spans="1:5" x14ac:dyDescent="0.3">
      <c r="A17" s="8" t="s">
        <v>29</v>
      </c>
      <c r="B17" s="8" t="s">
        <v>30</v>
      </c>
      <c r="C17" s="8" t="s">
        <v>21</v>
      </c>
    </row>
    <row r="18" spans="1:5" x14ac:dyDescent="0.3">
      <c r="A18" s="9" t="s">
        <v>31</v>
      </c>
      <c r="B18" s="10">
        <f>COUNTIF('Test Cases'!$K$5:$K$300,A18)</f>
        <v>8</v>
      </c>
      <c r="C18" s="10">
        <f>COUNTIFS('Test Cases'!$K$5:$K$300,A18,'Test Cases'!$J$5:$J$300,"Pass")</f>
        <v>0</v>
      </c>
    </row>
    <row r="19" spans="1:5" x14ac:dyDescent="0.3">
      <c r="A19" s="9" t="s">
        <v>32</v>
      </c>
      <c r="B19" s="10">
        <f>COUNTIF('Test Cases'!$K$5:$K$300,A19)</f>
        <v>16</v>
      </c>
      <c r="C19" s="10">
        <f>COUNTIFS('Test Cases'!$K$5:$K$300,A19,'Test Cases'!$J$5:$J$300,"Pass")</f>
        <v>0</v>
      </c>
    </row>
    <row r="20" spans="1:5" x14ac:dyDescent="0.3">
      <c r="A20" s="9" t="s">
        <v>33</v>
      </c>
      <c r="B20" s="10">
        <f>COUNTIF('Test Cases'!$K$5:$K$300,A20)</f>
        <v>5</v>
      </c>
      <c r="C20" s="10">
        <f>COUNTIFS('Test Cases'!$K$5:$K$300,A20,'Test Cases'!$J$5:$J$300,"Pass")</f>
        <v>0</v>
      </c>
    </row>
    <row r="21" spans="1:5" x14ac:dyDescent="0.3">
      <c r="A21" s="9" t="s">
        <v>34</v>
      </c>
      <c r="B21" s="10">
        <f>COUNTIF('Test Cases'!$K$5:$K$300,A21)</f>
        <v>0</v>
      </c>
      <c r="C21" s="10">
        <f>COUNTIFS('Test Cases'!$K$5:$K$300,A21,'Test Cases'!$J$5:$J$300,"Pass")</f>
        <v>0</v>
      </c>
    </row>
    <row r="24" spans="1:5" x14ac:dyDescent="0.3">
      <c r="A24" s="7" t="s">
        <v>35</v>
      </c>
    </row>
    <row r="25" spans="1:5" ht="26.4" x14ac:dyDescent="0.3">
      <c r="A25" s="8" t="s">
        <v>36</v>
      </c>
      <c r="B25" s="8" t="s">
        <v>20</v>
      </c>
      <c r="C25" s="8" t="s">
        <v>37</v>
      </c>
      <c r="D25" s="8" t="s">
        <v>38</v>
      </c>
      <c r="E25" s="8" t="s">
        <v>39</v>
      </c>
    </row>
    <row r="26" spans="1:5" x14ac:dyDescent="0.3">
      <c r="A26" s="9" t="s">
        <v>40</v>
      </c>
      <c r="B26" s="10">
        <f>COUNTIF('UAT Checklist'!$B$5:$B$200,A26)</f>
        <v>3</v>
      </c>
      <c r="C26" s="10">
        <f>COUNTIFS('UAT Checklist'!$B$5:$B$200,$A26,'UAT Checklist'!$E$5:$E$200,"Đạt")</f>
        <v>0</v>
      </c>
      <c r="D26" s="10">
        <f>COUNTIFS('UAT Checklist'!$B$5:$B$200,$A26,'UAT Checklist'!$E$5:$E$200,"Không đạt")</f>
        <v>0</v>
      </c>
      <c r="E26" s="10">
        <f>COUNTIFS('UAT Checklist'!$B$5:$B$200,$A26,'UAT Checklist'!$E$5:$E$200,"Chưa test")</f>
        <v>3</v>
      </c>
    </row>
    <row r="27" spans="1:5" x14ac:dyDescent="0.3">
      <c r="A27" s="9" t="s">
        <v>41</v>
      </c>
      <c r="B27" s="10">
        <f>COUNTIF('UAT Checklist'!$B$5:$B$200,A27)</f>
        <v>2</v>
      </c>
      <c r="C27" s="10">
        <f>COUNTIFS('UAT Checklist'!$B$5:$B$200,$A27,'UAT Checklist'!$E$5:$E$200,"Đạt")</f>
        <v>0</v>
      </c>
      <c r="D27" s="10">
        <f>COUNTIFS('UAT Checklist'!$B$5:$B$200,$A27,'UAT Checklist'!$E$5:$E$200,"Không đạt")</f>
        <v>0</v>
      </c>
      <c r="E27" s="10">
        <f>COUNTIFS('UAT Checklist'!$B$5:$B$200,$A27,'UAT Checklist'!$E$5:$E$200,"Chưa test")</f>
        <v>2</v>
      </c>
    </row>
    <row r="28" spans="1:5" x14ac:dyDescent="0.3">
      <c r="A28" s="9" t="s">
        <v>42</v>
      </c>
      <c r="B28" s="10">
        <f>COUNTIF('UAT Checklist'!$B$5:$B$200,A28)</f>
        <v>2</v>
      </c>
      <c r="C28" s="10">
        <f>COUNTIFS('UAT Checklist'!$B$5:$B$200,$A28,'UAT Checklist'!$E$5:$E$200,"Đạt")</f>
        <v>0</v>
      </c>
      <c r="D28" s="10">
        <f>COUNTIFS('UAT Checklist'!$B$5:$B$200,$A28,'UAT Checklist'!$E$5:$E$200,"Không đạt")</f>
        <v>0</v>
      </c>
      <c r="E28" s="10">
        <f>COUNTIFS('UAT Checklist'!$B$5:$B$200,$A28,'UAT Checklist'!$E$5:$E$200,"Chưa test")</f>
        <v>2</v>
      </c>
    </row>
    <row r="29" spans="1:5" x14ac:dyDescent="0.3">
      <c r="A29" s="9" t="s">
        <v>43</v>
      </c>
      <c r="B29" s="10">
        <f>COUNTIF('UAT Checklist'!$B$5:$B$200,A29)</f>
        <v>1</v>
      </c>
      <c r="C29" s="10">
        <f>COUNTIFS('UAT Checklist'!$B$5:$B$200,$A29,'UAT Checklist'!$E$5:$E$200,"Đạt")</f>
        <v>0</v>
      </c>
      <c r="D29" s="10">
        <f>COUNTIFS('UAT Checklist'!$B$5:$B$200,$A29,'UAT Checklist'!$E$5:$E$200,"Không đạt")</f>
        <v>0</v>
      </c>
      <c r="E29" s="10">
        <f>COUNTIFS('UAT Checklist'!$B$5:$B$200,$A29,'UAT Checklist'!$E$5:$E$200,"Chưa test")</f>
        <v>1</v>
      </c>
    </row>
    <row r="32" spans="1:5" x14ac:dyDescent="0.3">
      <c r="A32" s="7" t="s">
        <v>44</v>
      </c>
    </row>
    <row r="33" spans="1:5" x14ac:dyDescent="0.3">
      <c r="A33" s="8" t="s">
        <v>45</v>
      </c>
      <c r="B33" s="8" t="s">
        <v>20</v>
      </c>
      <c r="C33" s="8" t="s">
        <v>46</v>
      </c>
    </row>
    <row r="34" spans="1:5" x14ac:dyDescent="0.3">
      <c r="A34" s="9" t="s">
        <v>31</v>
      </c>
      <c r="B34" s="10">
        <f>COUNTIFS('Defect Log'!$J$5:$J$300,A34,'Defect Log'!$A$5:$A$300,"&lt;&gt;DEF-EX")</f>
        <v>0</v>
      </c>
      <c r="C34" s="10">
        <f>COUNTIFS('Defect Log'!$J$5:$J$300,A34,'Defect Log'!$A$5:$A$300,"&lt;&gt;DEF-EX",'Defect Log'!$K$5:$K$300,"&lt;&gt;Closed",'Defect Log'!$K$5:$K$300,"&lt;&gt;Rejected")</f>
        <v>0</v>
      </c>
    </row>
    <row r="35" spans="1:5" x14ac:dyDescent="0.3">
      <c r="A35" s="9" t="s">
        <v>32</v>
      </c>
      <c r="B35" s="10">
        <f>COUNTIFS('Defect Log'!$J$5:$J$300,A35,'Defect Log'!$A$5:$A$300,"&lt;&gt;DEF-EX")</f>
        <v>0</v>
      </c>
      <c r="C35" s="10">
        <f>COUNTIFS('Defect Log'!$J$5:$J$300,A35,'Defect Log'!$A$5:$A$300,"&lt;&gt;DEF-EX",'Defect Log'!$K$5:$K$300,"&lt;&gt;Closed",'Defect Log'!$K$5:$K$300,"&lt;&gt;Rejected")</f>
        <v>0</v>
      </c>
    </row>
    <row r="36" spans="1:5" x14ac:dyDescent="0.3">
      <c r="A36" s="9" t="s">
        <v>33</v>
      </c>
      <c r="B36" s="10">
        <f>COUNTIFS('Defect Log'!$J$5:$J$300,A36,'Defect Log'!$A$5:$A$300,"&lt;&gt;DEF-EX")</f>
        <v>0</v>
      </c>
      <c r="C36" s="10">
        <f>COUNTIFS('Defect Log'!$J$5:$J$300,A36,'Defect Log'!$A$5:$A$300,"&lt;&gt;DEF-EX",'Defect Log'!$K$5:$K$300,"&lt;&gt;Closed",'Defect Log'!$K$5:$K$300,"&lt;&gt;Rejected")</f>
        <v>0</v>
      </c>
    </row>
    <row r="37" spans="1:5" x14ac:dyDescent="0.3">
      <c r="A37" s="9" t="s">
        <v>34</v>
      </c>
      <c r="B37" s="10">
        <f>COUNTIFS('Defect Log'!$J$5:$J$300,A37,'Defect Log'!$A$5:$A$300,"&lt;&gt;DEF-EX")</f>
        <v>0</v>
      </c>
      <c r="C37" s="10">
        <f>COUNTIFS('Defect Log'!$J$5:$J$300,A37,'Defect Log'!$A$5:$A$300,"&lt;&gt;DEF-EX",'Defect Log'!$K$5:$K$300,"&lt;&gt;Closed",'Defect Log'!$K$5:$K$300,"&lt;&gt;Rejected")</f>
        <v>0</v>
      </c>
    </row>
    <row r="39" spans="1:5" x14ac:dyDescent="0.3">
      <c r="A39" s="7" t="s">
        <v>47</v>
      </c>
    </row>
    <row r="40" spans="1:5" x14ac:dyDescent="0.3">
      <c r="A40" s="9" t="s">
        <v>48</v>
      </c>
      <c r="B40" s="15">
        <f>C34+C35</f>
        <v>0</v>
      </c>
    </row>
    <row r="41" spans="1:5" x14ac:dyDescent="0.3">
      <c r="A41" s="9" t="s">
        <v>49</v>
      </c>
      <c r="B41" s="1" t="str">
        <f>IF(AND(B40=0,E26+E27+E28+E29=0,D26+D27+D28+D29=0),"Đủ điều kiện go-live","Chưa đủ điều kiện")</f>
        <v>Chưa đủ điều kiện</v>
      </c>
      <c r="C41" s="1"/>
      <c r="D41" s="1"/>
      <c r="E41" s="1"/>
    </row>
  </sheetData>
  <mergeCells count="1">
    <mergeCell ref="B41:E4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3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6" sqref="C16"/>
    </sheetView>
  </sheetViews>
  <sheetFormatPr defaultColWidth="8.6640625" defaultRowHeight="14.4" x14ac:dyDescent="0.3"/>
  <cols>
    <col min="1" max="1" width="8" customWidth="1"/>
    <col min="2" max="2" width="20" customWidth="1"/>
    <col min="3" max="3" width="55" customWidth="1"/>
    <col min="4" max="4" width="20" customWidth="1"/>
    <col min="5" max="5" width="14" customWidth="1"/>
    <col min="6" max="7" width="10" customWidth="1"/>
  </cols>
  <sheetData>
    <row r="1" spans="1:7" ht="17.399999999999999" x14ac:dyDescent="0.3">
      <c r="A1" s="2" t="s">
        <v>50</v>
      </c>
    </row>
    <row r="2" spans="1:7" x14ac:dyDescent="0.3">
      <c r="A2" s="3" t="s">
        <v>327</v>
      </c>
    </row>
    <row r="4" spans="1:7" ht="31.5" customHeight="1" x14ac:dyDescent="0.3">
      <c r="A4" s="8" t="s">
        <v>51</v>
      </c>
      <c r="B4" s="8" t="s">
        <v>19</v>
      </c>
      <c r="C4" s="8" t="s">
        <v>52</v>
      </c>
      <c r="D4" s="8" t="s">
        <v>53</v>
      </c>
      <c r="E4" s="8" t="s">
        <v>54</v>
      </c>
      <c r="F4" s="8" t="s">
        <v>29</v>
      </c>
      <c r="G4" s="8" t="s">
        <v>55</v>
      </c>
    </row>
    <row r="5" spans="1:7" x14ac:dyDescent="0.3">
      <c r="A5" s="16" t="s">
        <v>56</v>
      </c>
      <c r="B5" s="5" t="s">
        <v>329</v>
      </c>
      <c r="C5" s="5" t="s">
        <v>57</v>
      </c>
      <c r="D5" s="5" t="s">
        <v>58</v>
      </c>
      <c r="E5" s="16" t="s">
        <v>59</v>
      </c>
      <c r="F5" s="16" t="s">
        <v>32</v>
      </c>
      <c r="G5" s="16">
        <f>COUNTIF('Test Cases'!$B$5:$B$300,A5)</f>
        <v>3</v>
      </c>
    </row>
    <row r="6" spans="1:7" x14ac:dyDescent="0.3">
      <c r="A6" s="16" t="s">
        <v>60</v>
      </c>
      <c r="B6" s="5" t="s">
        <v>329</v>
      </c>
      <c r="C6" s="5" t="s">
        <v>61</v>
      </c>
      <c r="D6" s="5" t="s">
        <v>62</v>
      </c>
      <c r="E6" s="16" t="s">
        <v>59</v>
      </c>
      <c r="F6" s="16" t="s">
        <v>32</v>
      </c>
      <c r="G6" s="16">
        <f>COUNTIF('Test Cases'!$B$5:$B$300,A6)</f>
        <v>3</v>
      </c>
    </row>
    <row r="7" spans="1:7" x14ac:dyDescent="0.3">
      <c r="A7" s="16" t="s">
        <v>63</v>
      </c>
      <c r="B7" s="5" t="s">
        <v>329</v>
      </c>
      <c r="C7" s="5" t="s">
        <v>64</v>
      </c>
      <c r="D7" s="5" t="s">
        <v>65</v>
      </c>
      <c r="E7" s="16" t="s">
        <v>59</v>
      </c>
      <c r="F7" s="16" t="s">
        <v>32</v>
      </c>
      <c r="G7" s="16">
        <f>COUNTIF('Test Cases'!$B$5:$B$300,A7)</f>
        <v>3</v>
      </c>
    </row>
    <row r="8" spans="1:7" x14ac:dyDescent="0.3">
      <c r="A8" s="16" t="s">
        <v>66</v>
      </c>
      <c r="B8" s="5" t="s">
        <v>330</v>
      </c>
      <c r="C8" s="5" t="s">
        <v>67</v>
      </c>
      <c r="D8" s="5" t="s">
        <v>68</v>
      </c>
      <c r="E8" s="16" t="s">
        <v>69</v>
      </c>
      <c r="F8" s="16" t="s">
        <v>31</v>
      </c>
      <c r="G8" s="16">
        <f>COUNTIF('Test Cases'!$B$5:$B$300,A8)</f>
        <v>5</v>
      </c>
    </row>
    <row r="9" spans="1:7" x14ac:dyDescent="0.3">
      <c r="A9" s="16" t="s">
        <v>70</v>
      </c>
      <c r="B9" s="5" t="s">
        <v>331</v>
      </c>
      <c r="C9" s="5" t="s">
        <v>71</v>
      </c>
      <c r="D9" s="5" t="s">
        <v>72</v>
      </c>
      <c r="E9" s="16" t="s">
        <v>73</v>
      </c>
      <c r="F9" s="16" t="s">
        <v>32</v>
      </c>
      <c r="G9" s="16">
        <f>COUNTIF('Test Cases'!$B$5:$B$300,A9)</f>
        <v>3</v>
      </c>
    </row>
    <row r="10" spans="1:7" x14ac:dyDescent="0.3">
      <c r="A10" s="16" t="s">
        <v>74</v>
      </c>
      <c r="B10" s="5" t="s">
        <v>332</v>
      </c>
      <c r="C10" s="5" t="s">
        <v>75</v>
      </c>
      <c r="D10" s="5" t="s">
        <v>62</v>
      </c>
      <c r="E10" s="16" t="s">
        <v>76</v>
      </c>
      <c r="F10" s="16" t="s">
        <v>32</v>
      </c>
      <c r="G10" s="16">
        <f>COUNTIF('Test Cases'!$B$5:$B$300,A10)</f>
        <v>3</v>
      </c>
    </row>
    <row r="11" spans="1:7" x14ac:dyDescent="0.3">
      <c r="A11" s="16" t="s">
        <v>77</v>
      </c>
      <c r="B11" s="5" t="s">
        <v>333</v>
      </c>
      <c r="C11" s="5" t="s">
        <v>78</v>
      </c>
      <c r="D11" s="5" t="s">
        <v>62</v>
      </c>
      <c r="E11" s="16" t="s">
        <v>79</v>
      </c>
      <c r="F11" s="16" t="s">
        <v>32</v>
      </c>
      <c r="G11" s="16">
        <f>COUNTIF('Test Cases'!$B$5:$B$300,A11)</f>
        <v>3</v>
      </c>
    </row>
    <row r="12" spans="1:7" x14ac:dyDescent="0.3">
      <c r="A12" s="16" t="s">
        <v>80</v>
      </c>
      <c r="B12" s="5" t="s">
        <v>26</v>
      </c>
      <c r="C12" s="5" t="s">
        <v>81</v>
      </c>
      <c r="D12" s="5" t="s">
        <v>62</v>
      </c>
      <c r="E12" s="16" t="s">
        <v>82</v>
      </c>
      <c r="F12" s="16" t="s">
        <v>31</v>
      </c>
      <c r="G12" s="16">
        <f>COUNTIF('Test Cases'!$B$5:$B$300,A12)</f>
        <v>4</v>
      </c>
    </row>
    <row r="13" spans="1:7" ht="26.4" x14ac:dyDescent="0.3">
      <c r="A13" s="16" t="s">
        <v>83</v>
      </c>
      <c r="B13" s="5" t="s">
        <v>27</v>
      </c>
      <c r="C13" s="5" t="s">
        <v>84</v>
      </c>
      <c r="D13" s="5" t="s">
        <v>85</v>
      </c>
      <c r="E13" s="16" t="s">
        <v>86</v>
      </c>
      <c r="F13" s="16" t="s">
        <v>32</v>
      </c>
      <c r="G13" s="16">
        <f>COUNTIF('Test Cases'!$B$5:$B$300,A13)</f>
        <v>2</v>
      </c>
    </row>
  </sheetData>
  <autoFilter ref="A4:G13" xr:uid="{00000000-0009-0000-0000-000002000000}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3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7" customWidth="1"/>
    <col min="3" max="3" width="17" customWidth="1"/>
    <col min="4" max="4" width="30" customWidth="1"/>
    <col min="5" max="5" width="28" customWidth="1"/>
    <col min="6" max="6" width="38" customWidth="1"/>
    <col min="7" max="7" width="24" customWidth="1"/>
    <col min="8" max="8" width="36" customWidth="1"/>
    <col min="9" max="9" width="22" customWidth="1"/>
    <col min="10" max="10" width="10" customWidth="1"/>
    <col min="11" max="12" width="9" customWidth="1"/>
    <col min="13" max="13" width="14" customWidth="1"/>
    <col min="14" max="14" width="12" customWidth="1"/>
    <col min="15" max="15" width="11" customWidth="1"/>
    <col min="16" max="16" width="9" customWidth="1"/>
    <col min="17" max="17" width="22" customWidth="1"/>
  </cols>
  <sheetData>
    <row r="1" spans="1:17" ht="17.399999999999999" x14ac:dyDescent="0.3">
      <c r="A1" s="2" t="s">
        <v>87</v>
      </c>
    </row>
    <row r="2" spans="1:17" x14ac:dyDescent="0.3">
      <c r="A2" s="3" t="s">
        <v>327</v>
      </c>
    </row>
    <row r="4" spans="1:17" ht="31.5" customHeight="1" x14ac:dyDescent="0.3">
      <c r="A4" s="8" t="s">
        <v>88</v>
      </c>
      <c r="B4" s="8" t="s">
        <v>51</v>
      </c>
      <c r="C4" s="8" t="s">
        <v>19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29</v>
      </c>
      <c r="L4" s="8" t="s">
        <v>96</v>
      </c>
      <c r="M4" s="8" t="s">
        <v>97</v>
      </c>
      <c r="N4" s="8" t="s">
        <v>98</v>
      </c>
      <c r="O4" s="8" t="s">
        <v>99</v>
      </c>
      <c r="P4" s="8" t="s">
        <v>100</v>
      </c>
      <c r="Q4" s="8" t="s">
        <v>101</v>
      </c>
    </row>
    <row r="5" spans="1:17" ht="39.6" x14ac:dyDescent="0.3">
      <c r="A5" s="16" t="s">
        <v>102</v>
      </c>
      <c r="B5" s="16" t="s">
        <v>56</v>
      </c>
      <c r="C5" s="5" t="s">
        <v>329</v>
      </c>
      <c r="D5" s="5" t="s">
        <v>103</v>
      </c>
      <c r="E5" s="5" t="s">
        <v>104</v>
      </c>
      <c r="F5" s="5" t="s">
        <v>105</v>
      </c>
      <c r="G5" s="5" t="s">
        <v>106</v>
      </c>
      <c r="H5" s="5" t="s">
        <v>107</v>
      </c>
      <c r="I5" s="17"/>
      <c r="J5" s="18" t="s">
        <v>24</v>
      </c>
      <c r="K5" s="16" t="s">
        <v>32</v>
      </c>
      <c r="L5" s="16" t="s">
        <v>59</v>
      </c>
      <c r="M5" s="5" t="s">
        <v>108</v>
      </c>
      <c r="N5" s="17"/>
      <c r="O5" s="19"/>
      <c r="P5" s="18"/>
      <c r="Q5" s="17" t="s">
        <v>109</v>
      </c>
    </row>
    <row r="6" spans="1:17" ht="39.6" x14ac:dyDescent="0.3">
      <c r="A6" s="16" t="s">
        <v>110</v>
      </c>
      <c r="B6" s="16" t="s">
        <v>56</v>
      </c>
      <c r="C6" s="5" t="s">
        <v>329</v>
      </c>
      <c r="D6" s="5" t="s">
        <v>111</v>
      </c>
      <c r="E6" s="5" t="s">
        <v>104</v>
      </c>
      <c r="F6" s="5" t="s">
        <v>105</v>
      </c>
      <c r="G6" s="5" t="s">
        <v>112</v>
      </c>
      <c r="H6" s="5" t="s">
        <v>113</v>
      </c>
      <c r="I6" s="17"/>
      <c r="J6" s="18" t="s">
        <v>24</v>
      </c>
      <c r="K6" s="16" t="s">
        <v>32</v>
      </c>
      <c r="L6" s="16" t="s">
        <v>59</v>
      </c>
      <c r="M6" s="5" t="s">
        <v>108</v>
      </c>
      <c r="N6" s="17"/>
      <c r="O6" s="19"/>
      <c r="P6" s="18"/>
      <c r="Q6" s="17" t="s">
        <v>114</v>
      </c>
    </row>
    <row r="7" spans="1:17" ht="39.6" x14ac:dyDescent="0.3">
      <c r="A7" s="16" t="s">
        <v>115</v>
      </c>
      <c r="B7" s="16" t="s">
        <v>56</v>
      </c>
      <c r="C7" s="5" t="s">
        <v>329</v>
      </c>
      <c r="D7" s="5" t="s">
        <v>116</v>
      </c>
      <c r="E7" s="5" t="s">
        <v>104</v>
      </c>
      <c r="F7" s="5" t="s">
        <v>117</v>
      </c>
      <c r="G7" s="5" t="s">
        <v>118</v>
      </c>
      <c r="H7" s="5" t="s">
        <v>119</v>
      </c>
      <c r="I7" s="17"/>
      <c r="J7" s="18" t="s">
        <v>24</v>
      </c>
      <c r="K7" s="16" t="s">
        <v>33</v>
      </c>
      <c r="L7" s="16" t="s">
        <v>59</v>
      </c>
      <c r="M7" s="5" t="s">
        <v>120</v>
      </c>
      <c r="N7" s="17"/>
      <c r="O7" s="19"/>
      <c r="P7" s="18"/>
      <c r="Q7" s="17"/>
    </row>
    <row r="8" spans="1:17" ht="79.2" x14ac:dyDescent="0.3">
      <c r="A8" s="16" t="s">
        <v>121</v>
      </c>
      <c r="B8" s="16" t="s">
        <v>60</v>
      </c>
      <c r="C8" s="5" t="s">
        <v>329</v>
      </c>
      <c r="D8" s="5" t="s">
        <v>122</v>
      </c>
      <c r="E8" s="5" t="s">
        <v>104</v>
      </c>
      <c r="F8" s="5" t="s">
        <v>123</v>
      </c>
      <c r="G8" s="5" t="s">
        <v>124</v>
      </c>
      <c r="H8" s="5" t="s">
        <v>125</v>
      </c>
      <c r="I8" s="17"/>
      <c r="J8" s="18" t="s">
        <v>24</v>
      </c>
      <c r="K8" s="16" t="s">
        <v>32</v>
      </c>
      <c r="L8" s="16" t="s">
        <v>59</v>
      </c>
      <c r="M8" s="5" t="s">
        <v>126</v>
      </c>
      <c r="N8" s="17"/>
      <c r="O8" s="19"/>
      <c r="P8" s="18"/>
      <c r="Q8" s="17"/>
    </row>
    <row r="9" spans="1:17" ht="52.8" x14ac:dyDescent="0.3">
      <c r="A9" s="16" t="s">
        <v>127</v>
      </c>
      <c r="B9" s="16" t="s">
        <v>60</v>
      </c>
      <c r="C9" s="5" t="s">
        <v>329</v>
      </c>
      <c r="D9" s="5" t="s">
        <v>128</v>
      </c>
      <c r="E9" s="5" t="s">
        <v>104</v>
      </c>
      <c r="F9" s="5" t="s">
        <v>129</v>
      </c>
      <c r="G9" s="5" t="s">
        <v>130</v>
      </c>
      <c r="H9" s="5" t="s">
        <v>131</v>
      </c>
      <c r="I9" s="17"/>
      <c r="J9" s="18" t="s">
        <v>24</v>
      </c>
      <c r="K9" s="16" t="s">
        <v>32</v>
      </c>
      <c r="L9" s="16" t="s">
        <v>59</v>
      </c>
      <c r="M9" s="5" t="s">
        <v>132</v>
      </c>
      <c r="N9" s="17"/>
      <c r="O9" s="19"/>
      <c r="P9" s="18"/>
      <c r="Q9" s="17"/>
    </row>
    <row r="10" spans="1:17" ht="52.8" x14ac:dyDescent="0.3">
      <c r="A10" s="16" t="s">
        <v>133</v>
      </c>
      <c r="B10" s="16" t="s">
        <v>60</v>
      </c>
      <c r="C10" s="5" t="s">
        <v>329</v>
      </c>
      <c r="D10" s="5" t="s">
        <v>134</v>
      </c>
      <c r="E10" s="5" t="s">
        <v>135</v>
      </c>
      <c r="F10" s="5" t="s">
        <v>136</v>
      </c>
      <c r="G10" s="5" t="s">
        <v>137</v>
      </c>
      <c r="H10" s="5" t="s">
        <v>138</v>
      </c>
      <c r="I10" s="17"/>
      <c r="J10" s="18" t="s">
        <v>24</v>
      </c>
      <c r="K10" s="16" t="s">
        <v>32</v>
      </c>
      <c r="L10" s="16" t="s">
        <v>59</v>
      </c>
      <c r="M10" s="5" t="s">
        <v>139</v>
      </c>
      <c r="N10" s="17"/>
      <c r="O10" s="19"/>
      <c r="P10" s="18"/>
      <c r="Q10" s="17"/>
    </row>
    <row r="11" spans="1:17" ht="52.8" x14ac:dyDescent="0.3">
      <c r="A11" s="16" t="s">
        <v>140</v>
      </c>
      <c r="B11" s="16" t="s">
        <v>63</v>
      </c>
      <c r="C11" s="5" t="s">
        <v>329</v>
      </c>
      <c r="D11" s="5" t="s">
        <v>141</v>
      </c>
      <c r="E11" s="5" t="s">
        <v>104</v>
      </c>
      <c r="F11" s="5" t="s">
        <v>142</v>
      </c>
      <c r="G11" s="5" t="s">
        <v>143</v>
      </c>
      <c r="H11" s="5" t="s">
        <v>144</v>
      </c>
      <c r="I11" s="17"/>
      <c r="J11" s="18" t="s">
        <v>24</v>
      </c>
      <c r="K11" s="16" t="s">
        <v>32</v>
      </c>
      <c r="L11" s="16" t="s">
        <v>59</v>
      </c>
      <c r="M11" s="5" t="s">
        <v>145</v>
      </c>
      <c r="N11" s="17"/>
      <c r="O11" s="19"/>
      <c r="P11" s="18"/>
      <c r="Q11" s="17"/>
    </row>
    <row r="12" spans="1:17" ht="39.6" x14ac:dyDescent="0.3">
      <c r="A12" s="16" t="s">
        <v>146</v>
      </c>
      <c r="B12" s="16" t="s">
        <v>63</v>
      </c>
      <c r="C12" s="5" t="s">
        <v>329</v>
      </c>
      <c r="D12" s="5" t="s">
        <v>147</v>
      </c>
      <c r="E12" s="5" t="s">
        <v>104</v>
      </c>
      <c r="F12" s="5" t="s">
        <v>148</v>
      </c>
      <c r="G12" s="5" t="s">
        <v>149</v>
      </c>
      <c r="H12" s="5" t="s">
        <v>150</v>
      </c>
      <c r="I12" s="17"/>
      <c r="J12" s="18" t="s">
        <v>24</v>
      </c>
      <c r="K12" s="16" t="s">
        <v>33</v>
      </c>
      <c r="L12" s="16" t="s">
        <v>59</v>
      </c>
      <c r="M12" s="5" t="s">
        <v>151</v>
      </c>
      <c r="N12" s="17"/>
      <c r="O12" s="19"/>
      <c r="P12" s="18"/>
      <c r="Q12" s="17" t="s">
        <v>109</v>
      </c>
    </row>
    <row r="13" spans="1:17" ht="39.6" x14ac:dyDescent="0.3">
      <c r="A13" s="16" t="s">
        <v>152</v>
      </c>
      <c r="B13" s="16" t="s">
        <v>63</v>
      </c>
      <c r="C13" s="5" t="s">
        <v>329</v>
      </c>
      <c r="D13" s="5" t="s">
        <v>153</v>
      </c>
      <c r="E13" s="5" t="s">
        <v>104</v>
      </c>
      <c r="F13" s="5" t="s">
        <v>154</v>
      </c>
      <c r="G13" s="5" t="s">
        <v>155</v>
      </c>
      <c r="H13" s="5" t="s">
        <v>156</v>
      </c>
      <c r="I13" s="17"/>
      <c r="J13" s="18" t="s">
        <v>24</v>
      </c>
      <c r="K13" s="16" t="s">
        <v>33</v>
      </c>
      <c r="L13" s="16" t="s">
        <v>59</v>
      </c>
      <c r="M13" s="5" t="s">
        <v>151</v>
      </c>
      <c r="N13" s="17"/>
      <c r="O13" s="19"/>
      <c r="P13" s="18"/>
      <c r="Q13" s="17" t="s">
        <v>157</v>
      </c>
    </row>
    <row r="14" spans="1:17" ht="79.2" x14ac:dyDescent="0.3">
      <c r="A14" s="16" t="s">
        <v>158</v>
      </c>
      <c r="B14" s="16" t="s">
        <v>66</v>
      </c>
      <c r="C14" s="5" t="s">
        <v>330</v>
      </c>
      <c r="D14" s="5" t="s">
        <v>159</v>
      </c>
      <c r="E14" s="5" t="s">
        <v>160</v>
      </c>
      <c r="F14" s="5" t="s">
        <v>161</v>
      </c>
      <c r="G14" s="5" t="s">
        <v>162</v>
      </c>
      <c r="H14" s="5" t="s">
        <v>163</v>
      </c>
      <c r="I14" s="17"/>
      <c r="J14" s="18" t="s">
        <v>24</v>
      </c>
      <c r="K14" s="16" t="s">
        <v>31</v>
      </c>
      <c r="L14" s="16" t="s">
        <v>69</v>
      </c>
      <c r="M14" s="5" t="s">
        <v>164</v>
      </c>
      <c r="N14" s="17"/>
      <c r="O14" s="19"/>
      <c r="P14" s="18"/>
      <c r="Q14" s="17"/>
    </row>
    <row r="15" spans="1:17" ht="79.2" x14ac:dyDescent="0.3">
      <c r="A15" s="16" t="s">
        <v>165</v>
      </c>
      <c r="B15" s="16" t="s">
        <v>66</v>
      </c>
      <c r="C15" s="5" t="s">
        <v>330</v>
      </c>
      <c r="D15" s="5" t="s">
        <v>166</v>
      </c>
      <c r="E15" s="5" t="s">
        <v>160</v>
      </c>
      <c r="F15" s="5" t="s">
        <v>161</v>
      </c>
      <c r="G15" s="5" t="s">
        <v>167</v>
      </c>
      <c r="H15" s="5" t="s">
        <v>168</v>
      </c>
      <c r="I15" s="17"/>
      <c r="J15" s="18" t="s">
        <v>24</v>
      </c>
      <c r="K15" s="16" t="s">
        <v>31</v>
      </c>
      <c r="L15" s="16" t="s">
        <v>69</v>
      </c>
      <c r="M15" s="5" t="s">
        <v>164</v>
      </c>
      <c r="N15" s="17"/>
      <c r="O15" s="19"/>
      <c r="P15" s="18"/>
      <c r="Q15" s="17"/>
    </row>
    <row r="16" spans="1:17" ht="79.2" x14ac:dyDescent="0.3">
      <c r="A16" s="16" t="s">
        <v>169</v>
      </c>
      <c r="B16" s="16" t="s">
        <v>66</v>
      </c>
      <c r="C16" s="5" t="s">
        <v>330</v>
      </c>
      <c r="D16" s="5" t="s">
        <v>170</v>
      </c>
      <c r="E16" s="5" t="s">
        <v>160</v>
      </c>
      <c r="F16" s="5" t="s">
        <v>161</v>
      </c>
      <c r="G16" s="5" t="s">
        <v>171</v>
      </c>
      <c r="H16" s="5" t="s">
        <v>172</v>
      </c>
      <c r="I16" s="17"/>
      <c r="J16" s="18" t="s">
        <v>24</v>
      </c>
      <c r="K16" s="16" t="s">
        <v>31</v>
      </c>
      <c r="L16" s="16" t="s">
        <v>69</v>
      </c>
      <c r="M16" s="5" t="s">
        <v>173</v>
      </c>
      <c r="N16" s="17"/>
      <c r="O16" s="19"/>
      <c r="P16" s="18"/>
      <c r="Q16" s="17"/>
    </row>
    <row r="17" spans="1:17" ht="79.2" x14ac:dyDescent="0.3">
      <c r="A17" s="16" t="s">
        <v>174</v>
      </c>
      <c r="B17" s="16" t="s">
        <v>66</v>
      </c>
      <c r="C17" s="5" t="s">
        <v>330</v>
      </c>
      <c r="D17" s="5" t="s">
        <v>175</v>
      </c>
      <c r="E17" s="5" t="s">
        <v>176</v>
      </c>
      <c r="F17" s="5" t="s">
        <v>161</v>
      </c>
      <c r="G17" s="5" t="s">
        <v>177</v>
      </c>
      <c r="H17" s="5" t="s">
        <v>178</v>
      </c>
      <c r="I17" s="17"/>
      <c r="J17" s="18" t="s">
        <v>24</v>
      </c>
      <c r="K17" s="16" t="s">
        <v>32</v>
      </c>
      <c r="L17" s="16" t="s">
        <v>69</v>
      </c>
      <c r="M17" s="5" t="s">
        <v>173</v>
      </c>
      <c r="N17" s="17"/>
      <c r="O17" s="19"/>
      <c r="P17" s="18"/>
      <c r="Q17" s="17" t="s">
        <v>179</v>
      </c>
    </row>
    <row r="18" spans="1:17" ht="92.4" x14ac:dyDescent="0.3">
      <c r="A18" s="16" t="s">
        <v>180</v>
      </c>
      <c r="B18" s="16" t="s">
        <v>66</v>
      </c>
      <c r="C18" s="5" t="s">
        <v>330</v>
      </c>
      <c r="D18" s="5" t="s">
        <v>181</v>
      </c>
      <c r="E18" s="5" t="s">
        <v>182</v>
      </c>
      <c r="F18" s="5" t="s">
        <v>161</v>
      </c>
      <c r="G18" s="5" t="s">
        <v>183</v>
      </c>
      <c r="H18" s="5" t="s">
        <v>184</v>
      </c>
      <c r="I18" s="17"/>
      <c r="J18" s="18" t="s">
        <v>24</v>
      </c>
      <c r="K18" s="16" t="s">
        <v>31</v>
      </c>
      <c r="L18" s="16" t="s">
        <v>69</v>
      </c>
      <c r="M18" s="5" t="s">
        <v>173</v>
      </c>
      <c r="N18" s="17"/>
      <c r="O18" s="19"/>
      <c r="P18" s="18"/>
      <c r="Q18" s="17" t="s">
        <v>185</v>
      </c>
    </row>
    <row r="19" spans="1:17" ht="26.4" x14ac:dyDescent="0.3">
      <c r="A19" s="16" t="s">
        <v>186</v>
      </c>
      <c r="B19" s="16" t="s">
        <v>70</v>
      </c>
      <c r="C19" s="5" t="s">
        <v>331</v>
      </c>
      <c r="D19" s="5" t="s">
        <v>187</v>
      </c>
      <c r="E19" s="5" t="s">
        <v>188</v>
      </c>
      <c r="F19" s="5" t="s">
        <v>189</v>
      </c>
      <c r="G19" s="5" t="s">
        <v>130</v>
      </c>
      <c r="H19" s="5" t="s">
        <v>190</v>
      </c>
      <c r="I19" s="17"/>
      <c r="J19" s="18" t="s">
        <v>24</v>
      </c>
      <c r="K19" s="16" t="s">
        <v>32</v>
      </c>
      <c r="L19" s="16" t="s">
        <v>73</v>
      </c>
      <c r="M19" s="5" t="s">
        <v>191</v>
      </c>
      <c r="N19" s="17"/>
      <c r="O19" s="19"/>
      <c r="P19" s="18"/>
      <c r="Q19" s="17"/>
    </row>
    <row r="20" spans="1:17" ht="26.4" x14ac:dyDescent="0.3">
      <c r="A20" s="16" t="s">
        <v>192</v>
      </c>
      <c r="B20" s="16" t="s">
        <v>70</v>
      </c>
      <c r="C20" s="5" t="s">
        <v>331</v>
      </c>
      <c r="D20" s="5" t="s">
        <v>193</v>
      </c>
      <c r="E20" s="5" t="s">
        <v>194</v>
      </c>
      <c r="F20" s="5" t="s">
        <v>195</v>
      </c>
      <c r="G20" s="5" t="s">
        <v>196</v>
      </c>
      <c r="H20" s="5" t="s">
        <v>197</v>
      </c>
      <c r="I20" s="17"/>
      <c r="J20" s="18" t="s">
        <v>24</v>
      </c>
      <c r="K20" s="16" t="s">
        <v>32</v>
      </c>
      <c r="L20" s="16" t="s">
        <v>73</v>
      </c>
      <c r="M20" s="5" t="s">
        <v>198</v>
      </c>
      <c r="N20" s="17"/>
      <c r="O20" s="19"/>
      <c r="P20" s="18"/>
      <c r="Q20" s="17"/>
    </row>
    <row r="21" spans="1:17" ht="26.4" x14ac:dyDescent="0.3">
      <c r="A21" s="16" t="s">
        <v>199</v>
      </c>
      <c r="B21" s="16" t="s">
        <v>70</v>
      </c>
      <c r="C21" s="5" t="s">
        <v>331</v>
      </c>
      <c r="D21" s="5" t="s">
        <v>200</v>
      </c>
      <c r="E21" s="5" t="s">
        <v>201</v>
      </c>
      <c r="F21" s="5" t="s">
        <v>202</v>
      </c>
      <c r="G21" s="5" t="s">
        <v>130</v>
      </c>
      <c r="H21" s="5" t="s">
        <v>203</v>
      </c>
      <c r="I21" s="17"/>
      <c r="J21" s="18" t="s">
        <v>24</v>
      </c>
      <c r="K21" s="16" t="s">
        <v>33</v>
      </c>
      <c r="L21" s="16" t="s">
        <v>73</v>
      </c>
      <c r="M21" s="5" t="s">
        <v>204</v>
      </c>
      <c r="N21" s="17"/>
      <c r="O21" s="19"/>
      <c r="P21" s="18"/>
      <c r="Q21" s="17"/>
    </row>
    <row r="22" spans="1:17" ht="26.4" x14ac:dyDescent="0.3">
      <c r="A22" s="16" t="s">
        <v>205</v>
      </c>
      <c r="B22" s="16" t="s">
        <v>74</v>
      </c>
      <c r="C22" s="5" t="s">
        <v>332</v>
      </c>
      <c r="D22" s="5" t="s">
        <v>206</v>
      </c>
      <c r="E22" s="5" t="s">
        <v>207</v>
      </c>
      <c r="F22" s="5" t="s">
        <v>208</v>
      </c>
      <c r="G22" s="5" t="s">
        <v>209</v>
      </c>
      <c r="H22" s="5" t="s">
        <v>210</v>
      </c>
      <c r="I22" s="17"/>
      <c r="J22" s="18" t="s">
        <v>24</v>
      </c>
      <c r="K22" s="16" t="s">
        <v>32</v>
      </c>
      <c r="L22" s="16" t="s">
        <v>76</v>
      </c>
      <c r="M22" s="5" t="s">
        <v>211</v>
      </c>
      <c r="N22" s="17"/>
      <c r="O22" s="19"/>
      <c r="P22" s="18"/>
      <c r="Q22" s="17"/>
    </row>
    <row r="23" spans="1:17" ht="26.4" x14ac:dyDescent="0.3">
      <c r="A23" s="16" t="s">
        <v>212</v>
      </c>
      <c r="B23" s="16" t="s">
        <v>74</v>
      </c>
      <c r="C23" s="5" t="s">
        <v>332</v>
      </c>
      <c r="D23" s="5" t="s">
        <v>213</v>
      </c>
      <c r="E23" s="5" t="s">
        <v>214</v>
      </c>
      <c r="F23" s="5" t="s">
        <v>215</v>
      </c>
      <c r="G23" s="5" t="s">
        <v>130</v>
      </c>
      <c r="H23" s="5" t="s">
        <v>216</v>
      </c>
      <c r="I23" s="17"/>
      <c r="J23" s="18" t="s">
        <v>24</v>
      </c>
      <c r="K23" s="16" t="s">
        <v>32</v>
      </c>
      <c r="L23" s="16" t="s">
        <v>76</v>
      </c>
      <c r="M23" s="5" t="s">
        <v>198</v>
      </c>
      <c r="N23" s="17"/>
      <c r="O23" s="19"/>
      <c r="P23" s="18"/>
      <c r="Q23" s="17"/>
    </row>
    <row r="24" spans="1:17" ht="26.4" x14ac:dyDescent="0.3">
      <c r="A24" s="16" t="s">
        <v>217</v>
      </c>
      <c r="B24" s="16" t="s">
        <v>74</v>
      </c>
      <c r="C24" s="5" t="s">
        <v>332</v>
      </c>
      <c r="D24" s="5" t="s">
        <v>218</v>
      </c>
      <c r="E24" s="5" t="s">
        <v>219</v>
      </c>
      <c r="F24" s="5" t="s">
        <v>220</v>
      </c>
      <c r="G24" s="5" t="s">
        <v>130</v>
      </c>
      <c r="H24" s="5" t="s">
        <v>221</v>
      </c>
      <c r="I24" s="17"/>
      <c r="J24" s="18" t="s">
        <v>24</v>
      </c>
      <c r="K24" s="16" t="s">
        <v>33</v>
      </c>
      <c r="L24" s="16" t="s">
        <v>76</v>
      </c>
      <c r="M24" s="5" t="s">
        <v>222</v>
      </c>
      <c r="N24" s="17"/>
      <c r="O24" s="19"/>
      <c r="P24" s="18"/>
      <c r="Q24" s="17" t="s">
        <v>109</v>
      </c>
    </row>
    <row r="25" spans="1:17" ht="26.4" x14ac:dyDescent="0.3">
      <c r="A25" s="16" t="s">
        <v>223</v>
      </c>
      <c r="B25" s="16" t="s">
        <v>77</v>
      </c>
      <c r="C25" s="5" t="s">
        <v>333</v>
      </c>
      <c r="D25" s="5" t="s">
        <v>224</v>
      </c>
      <c r="E25" s="5" t="s">
        <v>225</v>
      </c>
      <c r="F25" s="5" t="s">
        <v>226</v>
      </c>
      <c r="G25" s="5" t="s">
        <v>227</v>
      </c>
      <c r="H25" s="5" t="s">
        <v>228</v>
      </c>
      <c r="I25" s="17"/>
      <c r="J25" s="18" t="s">
        <v>24</v>
      </c>
      <c r="K25" s="16" t="s">
        <v>32</v>
      </c>
      <c r="L25" s="16" t="s">
        <v>79</v>
      </c>
      <c r="M25" s="5" t="s">
        <v>229</v>
      </c>
      <c r="N25" s="17"/>
      <c r="O25" s="19"/>
      <c r="P25" s="18"/>
      <c r="Q25" s="17"/>
    </row>
    <row r="26" spans="1:17" ht="26.4" x14ac:dyDescent="0.3">
      <c r="A26" s="16" t="s">
        <v>230</v>
      </c>
      <c r="B26" s="16" t="s">
        <v>77</v>
      </c>
      <c r="C26" s="5" t="s">
        <v>333</v>
      </c>
      <c r="D26" s="5" t="s">
        <v>231</v>
      </c>
      <c r="E26" s="5" t="s">
        <v>232</v>
      </c>
      <c r="F26" s="5" t="s">
        <v>233</v>
      </c>
      <c r="G26" s="5" t="s">
        <v>234</v>
      </c>
      <c r="H26" s="5" t="s">
        <v>235</v>
      </c>
      <c r="I26" s="17"/>
      <c r="J26" s="18" t="s">
        <v>24</v>
      </c>
      <c r="K26" s="16" t="s">
        <v>31</v>
      </c>
      <c r="L26" s="16" t="s">
        <v>79</v>
      </c>
      <c r="M26" s="5" t="s">
        <v>229</v>
      </c>
      <c r="N26" s="17"/>
      <c r="O26" s="19"/>
      <c r="P26" s="18"/>
      <c r="Q26" s="17"/>
    </row>
    <row r="27" spans="1:17" ht="26.4" x14ac:dyDescent="0.3">
      <c r="A27" s="16" t="s">
        <v>236</v>
      </c>
      <c r="B27" s="16" t="s">
        <v>77</v>
      </c>
      <c r="C27" s="5" t="s">
        <v>333</v>
      </c>
      <c r="D27" s="5" t="s">
        <v>237</v>
      </c>
      <c r="E27" s="5" t="s">
        <v>232</v>
      </c>
      <c r="F27" s="5" t="s">
        <v>238</v>
      </c>
      <c r="G27" s="5" t="s">
        <v>130</v>
      </c>
      <c r="H27" s="5" t="s">
        <v>239</v>
      </c>
      <c r="I27" s="17"/>
      <c r="J27" s="18" t="s">
        <v>24</v>
      </c>
      <c r="K27" s="16" t="s">
        <v>32</v>
      </c>
      <c r="L27" s="16" t="s">
        <v>79</v>
      </c>
      <c r="M27" s="5" t="s">
        <v>229</v>
      </c>
      <c r="N27" s="17"/>
      <c r="O27" s="19"/>
      <c r="P27" s="18"/>
      <c r="Q27" s="17"/>
    </row>
    <row r="28" spans="1:17" ht="26.4" x14ac:dyDescent="0.3">
      <c r="A28" s="16" t="s">
        <v>240</v>
      </c>
      <c r="B28" s="16" t="s">
        <v>80</v>
      </c>
      <c r="C28" s="5" t="s">
        <v>26</v>
      </c>
      <c r="D28" s="5" t="s">
        <v>241</v>
      </c>
      <c r="E28" s="5" t="s">
        <v>242</v>
      </c>
      <c r="F28" s="5" t="s">
        <v>243</v>
      </c>
      <c r="G28" s="5" t="s">
        <v>244</v>
      </c>
      <c r="H28" s="5" t="s">
        <v>245</v>
      </c>
      <c r="I28" s="17"/>
      <c r="J28" s="18" t="s">
        <v>24</v>
      </c>
      <c r="K28" s="16" t="s">
        <v>31</v>
      </c>
      <c r="L28" s="16" t="s">
        <v>82</v>
      </c>
      <c r="M28" s="5" t="s">
        <v>246</v>
      </c>
      <c r="N28" s="17"/>
      <c r="O28" s="19"/>
      <c r="P28" s="18"/>
      <c r="Q28" s="17"/>
    </row>
    <row r="29" spans="1:17" ht="26.4" x14ac:dyDescent="0.3">
      <c r="A29" s="16" t="s">
        <v>247</v>
      </c>
      <c r="B29" s="16" t="s">
        <v>80</v>
      </c>
      <c r="C29" s="5" t="s">
        <v>26</v>
      </c>
      <c r="D29" s="5" t="s">
        <v>248</v>
      </c>
      <c r="E29" s="5" t="s">
        <v>249</v>
      </c>
      <c r="F29" s="5" t="s">
        <v>250</v>
      </c>
      <c r="G29" s="5" t="s">
        <v>130</v>
      </c>
      <c r="H29" s="5" t="s">
        <v>251</v>
      </c>
      <c r="I29" s="17"/>
      <c r="J29" s="18" t="s">
        <v>24</v>
      </c>
      <c r="K29" s="16" t="s">
        <v>32</v>
      </c>
      <c r="L29" s="16" t="s">
        <v>82</v>
      </c>
      <c r="M29" s="5" t="s">
        <v>252</v>
      </c>
      <c r="N29" s="17"/>
      <c r="O29" s="19"/>
      <c r="P29" s="18"/>
      <c r="Q29" s="17"/>
    </row>
    <row r="30" spans="1:17" ht="39.6" x14ac:dyDescent="0.3">
      <c r="A30" s="16" t="s">
        <v>253</v>
      </c>
      <c r="B30" s="16" t="s">
        <v>80</v>
      </c>
      <c r="C30" s="5" t="s">
        <v>26</v>
      </c>
      <c r="D30" s="5" t="s">
        <v>254</v>
      </c>
      <c r="E30" s="5" t="s">
        <v>255</v>
      </c>
      <c r="F30" s="5" t="s">
        <v>256</v>
      </c>
      <c r="G30" s="5" t="s">
        <v>130</v>
      </c>
      <c r="H30" s="5" t="s">
        <v>257</v>
      </c>
      <c r="I30" s="17"/>
      <c r="J30" s="18" t="s">
        <v>24</v>
      </c>
      <c r="K30" s="16" t="s">
        <v>31</v>
      </c>
      <c r="L30" s="16" t="s">
        <v>82</v>
      </c>
      <c r="M30" s="5" t="s">
        <v>252</v>
      </c>
      <c r="N30" s="17"/>
      <c r="O30" s="19"/>
      <c r="P30" s="18"/>
      <c r="Q30" s="17" t="s">
        <v>258</v>
      </c>
    </row>
    <row r="31" spans="1:17" ht="26.4" x14ac:dyDescent="0.3">
      <c r="A31" s="16" t="s">
        <v>259</v>
      </c>
      <c r="B31" s="16" t="s">
        <v>80</v>
      </c>
      <c r="C31" s="5" t="s">
        <v>26</v>
      </c>
      <c r="D31" s="5" t="s">
        <v>260</v>
      </c>
      <c r="E31" s="5" t="s">
        <v>261</v>
      </c>
      <c r="F31" s="5" t="s">
        <v>262</v>
      </c>
      <c r="G31" s="5" t="s">
        <v>130</v>
      </c>
      <c r="H31" s="5" t="s">
        <v>263</v>
      </c>
      <c r="I31" s="17"/>
      <c r="J31" s="18" t="s">
        <v>24</v>
      </c>
      <c r="K31" s="16" t="s">
        <v>31</v>
      </c>
      <c r="L31" s="16" t="s">
        <v>82</v>
      </c>
      <c r="M31" s="5" t="s">
        <v>252</v>
      </c>
      <c r="N31" s="17"/>
      <c r="O31" s="19"/>
      <c r="P31" s="18"/>
      <c r="Q31" s="17" t="s">
        <v>264</v>
      </c>
    </row>
    <row r="32" spans="1:17" ht="26.4" x14ac:dyDescent="0.3">
      <c r="A32" s="16" t="s">
        <v>265</v>
      </c>
      <c r="B32" s="16" t="s">
        <v>83</v>
      </c>
      <c r="C32" s="5" t="s">
        <v>27</v>
      </c>
      <c r="D32" s="5" t="s">
        <v>266</v>
      </c>
      <c r="E32" s="5" t="s">
        <v>267</v>
      </c>
      <c r="F32" s="5" t="s">
        <v>268</v>
      </c>
      <c r="G32" s="5" t="s">
        <v>130</v>
      </c>
      <c r="H32" s="5" t="s">
        <v>269</v>
      </c>
      <c r="I32" s="17"/>
      <c r="J32" s="18" t="s">
        <v>24</v>
      </c>
      <c r="K32" s="16" t="s">
        <v>32</v>
      </c>
      <c r="L32" s="16" t="s">
        <v>130</v>
      </c>
      <c r="M32" s="5" t="s">
        <v>270</v>
      </c>
      <c r="N32" s="17"/>
      <c r="O32" s="19"/>
      <c r="P32" s="18"/>
      <c r="Q32" s="17" t="s">
        <v>271</v>
      </c>
    </row>
    <row r="33" spans="1:17" ht="26.4" x14ac:dyDescent="0.3">
      <c r="A33" s="16" t="s">
        <v>272</v>
      </c>
      <c r="B33" s="16" t="s">
        <v>83</v>
      </c>
      <c r="C33" s="5" t="s">
        <v>27</v>
      </c>
      <c r="D33" s="5" t="s">
        <v>273</v>
      </c>
      <c r="E33" s="5" t="s">
        <v>274</v>
      </c>
      <c r="F33" s="5" t="s">
        <v>275</v>
      </c>
      <c r="G33" s="5" t="s">
        <v>276</v>
      </c>
      <c r="H33" s="5" t="s">
        <v>277</v>
      </c>
      <c r="I33" s="17"/>
      <c r="J33" s="18" t="s">
        <v>24</v>
      </c>
      <c r="K33" s="16" t="s">
        <v>32</v>
      </c>
      <c r="L33" s="16" t="s">
        <v>130</v>
      </c>
      <c r="M33" s="5" t="s">
        <v>278</v>
      </c>
      <c r="N33" s="17"/>
      <c r="O33" s="19"/>
      <c r="P33" s="18"/>
      <c r="Q33" s="17" t="s">
        <v>271</v>
      </c>
    </row>
  </sheetData>
  <autoFilter ref="A4:Q33" xr:uid="{00000000-0009-0000-0000-000003000000}"/>
  <conditionalFormatting sqref="J5:J300">
    <cfRule type="cellIs" dxfId="7" priority="2" operator="equal">
      <formula>"Pass"</formula>
    </cfRule>
    <cfRule type="cellIs" dxfId="6" priority="3" operator="equal">
      <formula>"Fail"</formula>
    </cfRule>
    <cfRule type="cellIs" dxfId="5" priority="4" operator="equal">
      <formula>"Blocked"</formula>
    </cfRule>
    <cfRule type="cellIs" dxfId="4" priority="5" operator="equal">
      <formula>"Not Run"</formula>
    </cfRule>
  </conditionalFormatting>
  <conditionalFormatting sqref="Q5:Q300">
    <cfRule type="expression" dxfId="3" priority="6">
      <formula>ISNUMBER(SEARCH("Chờ OQ",Q5))</formula>
    </cfRule>
  </conditionalFormatting>
  <dataValidations count="2">
    <dataValidation type="list" allowBlank="1" sqref="J5:J300" xr:uid="{00000000-0002-0000-0300-000000000000}">
      <formula1>"Not Run,Pass,Fail,Blocked"</formula1>
      <formula2>0</formula2>
    </dataValidation>
    <dataValidation type="list" allowBlank="1" sqref="K5:K300" xr:uid="{00000000-0002-0000-0300-000001000000}">
      <formula1>"Critical,High,Medium,Low"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7" customWidth="1"/>
    <col min="2" max="2" width="14" customWidth="1"/>
    <col min="3" max="3" width="44" customWidth="1"/>
    <col min="4" max="4" width="46" customWidth="1"/>
    <col min="5" max="5" width="12" customWidth="1"/>
    <col min="6" max="6" width="14" customWidth="1"/>
    <col min="7" max="7" width="11" customWidth="1"/>
    <col min="8" max="8" width="28" customWidth="1"/>
  </cols>
  <sheetData>
    <row r="1" spans="1:8" ht="17.399999999999999" x14ac:dyDescent="0.3">
      <c r="A1" s="2" t="s">
        <v>279</v>
      </c>
    </row>
    <row r="2" spans="1:8" x14ac:dyDescent="0.3">
      <c r="A2" s="3" t="s">
        <v>327</v>
      </c>
    </row>
    <row r="4" spans="1:8" ht="31.5" customHeight="1" x14ac:dyDescent="0.3">
      <c r="A4" s="8" t="s">
        <v>280</v>
      </c>
      <c r="B4" s="8" t="s">
        <v>36</v>
      </c>
      <c r="C4" s="8" t="s">
        <v>281</v>
      </c>
      <c r="D4" s="8" t="s">
        <v>93</v>
      </c>
      <c r="E4" s="8" t="s">
        <v>282</v>
      </c>
      <c r="F4" s="8" t="s">
        <v>98</v>
      </c>
      <c r="G4" s="8" t="s">
        <v>99</v>
      </c>
      <c r="H4" s="8" t="s">
        <v>101</v>
      </c>
    </row>
    <row r="5" spans="1:8" x14ac:dyDescent="0.3">
      <c r="A5" s="16" t="s">
        <v>283</v>
      </c>
      <c r="B5" s="5" t="s">
        <v>40</v>
      </c>
      <c r="C5" s="5" t="s">
        <v>284</v>
      </c>
      <c r="D5" s="5" t="s">
        <v>285</v>
      </c>
      <c r="E5" s="18" t="s">
        <v>39</v>
      </c>
      <c r="F5" s="17"/>
      <c r="G5" s="19"/>
      <c r="H5" s="17"/>
    </row>
    <row r="6" spans="1:8" ht="26.4" x14ac:dyDescent="0.3">
      <c r="A6" s="16" t="s">
        <v>286</v>
      </c>
      <c r="B6" s="5" t="s">
        <v>40</v>
      </c>
      <c r="C6" s="5" t="s">
        <v>287</v>
      </c>
      <c r="D6" s="5" t="s">
        <v>288</v>
      </c>
      <c r="E6" s="18" t="s">
        <v>39</v>
      </c>
      <c r="F6" s="17"/>
      <c r="G6" s="19"/>
      <c r="H6" s="17"/>
    </row>
    <row r="7" spans="1:8" x14ac:dyDescent="0.3">
      <c r="A7" s="16" t="s">
        <v>289</v>
      </c>
      <c r="B7" s="5" t="s">
        <v>40</v>
      </c>
      <c r="C7" s="5" t="s">
        <v>290</v>
      </c>
      <c r="D7" s="5" t="s">
        <v>291</v>
      </c>
      <c r="E7" s="18" t="s">
        <v>39</v>
      </c>
      <c r="F7" s="17"/>
      <c r="G7" s="19"/>
      <c r="H7" s="17"/>
    </row>
    <row r="8" spans="1:8" x14ac:dyDescent="0.3">
      <c r="A8" s="16" t="s">
        <v>292</v>
      </c>
      <c r="B8" s="5" t="s">
        <v>41</v>
      </c>
      <c r="C8" s="5" t="s">
        <v>293</v>
      </c>
      <c r="D8" s="5" t="s">
        <v>294</v>
      </c>
      <c r="E8" s="18" t="s">
        <v>39</v>
      </c>
      <c r="F8" s="17"/>
      <c r="G8" s="19"/>
      <c r="H8" s="17"/>
    </row>
    <row r="9" spans="1:8" x14ac:dyDescent="0.3">
      <c r="A9" s="16" t="s">
        <v>295</v>
      </c>
      <c r="B9" s="5" t="s">
        <v>41</v>
      </c>
      <c r="C9" s="5" t="s">
        <v>296</v>
      </c>
      <c r="D9" s="5" t="s">
        <v>297</v>
      </c>
      <c r="E9" s="18" t="s">
        <v>39</v>
      </c>
      <c r="F9" s="17"/>
      <c r="G9" s="19"/>
      <c r="H9" s="17"/>
    </row>
    <row r="10" spans="1:8" ht="26.4" x14ac:dyDescent="0.3">
      <c r="A10" s="16" t="s">
        <v>298</v>
      </c>
      <c r="B10" s="5" t="s">
        <v>42</v>
      </c>
      <c r="C10" s="5" t="s">
        <v>299</v>
      </c>
      <c r="D10" s="5" t="s">
        <v>300</v>
      </c>
      <c r="E10" s="18" t="s">
        <v>39</v>
      </c>
      <c r="F10" s="17"/>
      <c r="G10" s="19"/>
      <c r="H10" s="17"/>
    </row>
    <row r="11" spans="1:8" ht="26.4" x14ac:dyDescent="0.3">
      <c r="A11" s="16" t="s">
        <v>301</v>
      </c>
      <c r="B11" s="5" t="s">
        <v>42</v>
      </c>
      <c r="C11" s="5" t="s">
        <v>302</v>
      </c>
      <c r="D11" s="5" t="s">
        <v>303</v>
      </c>
      <c r="E11" s="18" t="s">
        <v>39</v>
      </c>
      <c r="F11" s="17"/>
      <c r="G11" s="19"/>
      <c r="H11" s="17"/>
    </row>
    <row r="12" spans="1:8" ht="26.4" x14ac:dyDescent="0.3">
      <c r="A12" s="16" t="s">
        <v>304</v>
      </c>
      <c r="B12" s="5" t="s">
        <v>43</v>
      </c>
      <c r="C12" s="5" t="s">
        <v>305</v>
      </c>
      <c r="D12" s="5" t="s">
        <v>306</v>
      </c>
      <c r="E12" s="18" t="s">
        <v>39</v>
      </c>
      <c r="F12" s="17"/>
      <c r="G12" s="19"/>
      <c r="H12" s="17"/>
    </row>
  </sheetData>
  <autoFilter ref="A4:H12" xr:uid="{00000000-0009-0000-0000-000004000000}"/>
  <conditionalFormatting sqref="E5:E200">
    <cfRule type="cellIs" dxfId="2" priority="2" operator="equal">
      <formula>"Đạt"</formula>
    </cfRule>
    <cfRule type="cellIs" dxfId="1" priority="3" operator="equal">
      <formula>"Không đạt"</formula>
    </cfRule>
    <cfRule type="cellIs" dxfId="0" priority="4" operator="equal">
      <formula>"Chưa test"</formula>
    </cfRule>
  </conditionalFormatting>
  <dataValidations count="1">
    <dataValidation type="list" allowBlank="1" sqref="E5:E200" xr:uid="{00000000-0002-0000-0400-000000000000}">
      <formula1>"Chưa test,Đạt,Không đạt"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7"/>
  <sheetViews>
    <sheetView showGridLines="0" zoomScaleNormal="100" workbookViewId="0"/>
  </sheetViews>
  <sheetFormatPr defaultColWidth="8.6640625" defaultRowHeight="14.4" x14ac:dyDescent="0.3"/>
  <cols>
    <col min="1" max="1" width="9" customWidth="1"/>
    <col min="2" max="2" width="11" customWidth="1"/>
    <col min="3" max="3" width="14" customWidth="1"/>
    <col min="4" max="4" width="10" customWidth="1"/>
    <col min="5" max="5" width="16" customWidth="1"/>
    <col min="6" max="6" width="30" customWidth="1"/>
    <col min="7" max="7" width="34" customWidth="1"/>
    <col min="8" max="9" width="26" customWidth="1"/>
    <col min="10" max="10" width="10" customWidth="1"/>
    <col min="11" max="11" width="11" customWidth="1"/>
    <col min="12" max="12" width="12" customWidth="1"/>
    <col min="13" max="13" width="11" customWidth="1"/>
  </cols>
  <sheetData>
    <row r="1" spans="1:13" ht="17.399999999999999" x14ac:dyDescent="0.3">
      <c r="A1" s="2" t="s">
        <v>307</v>
      </c>
    </row>
    <row r="2" spans="1:13" x14ac:dyDescent="0.3">
      <c r="A2" s="3" t="s">
        <v>327</v>
      </c>
    </row>
    <row r="4" spans="1:13" ht="31.5" customHeight="1" x14ac:dyDescent="0.3">
      <c r="A4" s="8" t="s">
        <v>100</v>
      </c>
      <c r="B4" s="8" t="s">
        <v>308</v>
      </c>
      <c r="C4" s="8" t="s">
        <v>309</v>
      </c>
      <c r="D4" s="8" t="s">
        <v>310</v>
      </c>
      <c r="E4" s="8" t="s">
        <v>19</v>
      </c>
      <c r="F4" s="8" t="s">
        <v>311</v>
      </c>
      <c r="G4" s="8" t="s">
        <v>312</v>
      </c>
      <c r="H4" s="8" t="s">
        <v>93</v>
      </c>
      <c r="I4" s="8" t="s">
        <v>94</v>
      </c>
      <c r="J4" s="8" t="s">
        <v>45</v>
      </c>
      <c r="K4" s="8" t="s">
        <v>95</v>
      </c>
      <c r="L4" s="8" t="s">
        <v>313</v>
      </c>
      <c r="M4" s="8" t="s">
        <v>314</v>
      </c>
    </row>
    <row r="5" spans="1:13" ht="52.8" x14ac:dyDescent="0.3">
      <c r="A5" s="20" t="s">
        <v>315</v>
      </c>
      <c r="B5" s="20" t="s">
        <v>316</v>
      </c>
      <c r="C5" s="21" t="s">
        <v>317</v>
      </c>
      <c r="D5" s="20" t="s">
        <v>186</v>
      </c>
      <c r="E5" s="21" t="s">
        <v>330</v>
      </c>
      <c r="F5" s="21" t="s">
        <v>318</v>
      </c>
      <c r="G5" s="21" t="s">
        <v>319</v>
      </c>
      <c r="H5" s="21" t="s">
        <v>244</v>
      </c>
      <c r="I5" s="21" t="s">
        <v>320</v>
      </c>
      <c r="J5" s="20" t="s">
        <v>32</v>
      </c>
      <c r="K5" s="20" t="s">
        <v>321</v>
      </c>
      <c r="L5" s="21" t="s">
        <v>322</v>
      </c>
      <c r="M5" s="21"/>
    </row>
    <row r="7" spans="1:13" x14ac:dyDescent="0.3">
      <c r="A7" s="3" t="s">
        <v>323</v>
      </c>
    </row>
  </sheetData>
  <dataValidations count="2">
    <dataValidation type="list" allowBlank="1" sqref="J5:J300" xr:uid="{00000000-0002-0000-0500-000000000000}">
      <formula1>"Critical,High,Medium,Low"</formula1>
      <formula2>0</formula2>
    </dataValidation>
    <dataValidation type="list" allowBlank="1" sqref="K5:K300" xr:uid="{00000000-0002-0000-0500-000001000000}">
      <formula1>"Open,In Progress,Fixed,Retest,Closed,Rejected"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Hướng dẫn</vt:lpstr>
      <vt:lpstr>Summary</vt:lpstr>
      <vt:lpstr>Test Scenarios</vt:lpstr>
      <vt:lpstr>Test Cases</vt:lpstr>
      <vt:lpstr>UAT Checklist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Văn Mạnh</cp:lastModifiedBy>
  <cp:revision>0</cp:revision>
  <dcterms:created xsi:type="dcterms:W3CDTF">2026-10-23T07:34:26Z</dcterms:created>
  <dcterms:modified xsi:type="dcterms:W3CDTF">2026-10-23T09:01:06Z</dcterms:modified>
  <dc:language>en-US</dc:language>
</cp:coreProperties>
</file>