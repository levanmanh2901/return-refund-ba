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HP\Downloads\return-refund-ba\01-initiation\"/>
    </mc:Choice>
  </mc:AlternateContent>
  <xr:revisionPtr revIDLastSave="0" documentId="13_ncr:1_{AEAEF4DD-3292-423D-B4F4-E9ABB4788CE6}" xr6:coauthVersionLast="47" xr6:coauthVersionMax="47" xr10:uidLastSave="{00000000-0000-0000-0000-000000000000}"/>
  <bookViews>
    <workbookView xWindow="-108" yWindow="-108" windowWidth="23256" windowHeight="12456" tabRatio="500" activeTab="3" xr2:uid="{00000000-000D-0000-FFFF-FFFF00000000}"/>
  </bookViews>
  <sheets>
    <sheet name="Stakeholder Register" sheetId="1" r:id="rId1"/>
    <sheet name="Matrix" sheetId="2" r:id="rId2"/>
    <sheet name="RACI" sheetId="3" r:id="rId3"/>
    <sheet name="Communication Plan" sheetId="4" r:id="rId4"/>
  </sheets>
  <definedNames>
    <definedName name="_xlnm._FilterDatabase" localSheetId="0" hidden="1">'Stakeholder Register'!$A$4:$K$14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6" i="2" l="1" a="1"/>
  <c r="C6" i="2" s="1"/>
  <c r="B6" i="2" a="1"/>
  <c r="B6" i="2" s="1"/>
  <c r="C5" i="2" a="1"/>
  <c r="C5" i="2" s="1"/>
  <c r="B5" i="2" a="1"/>
  <c r="B5" i="2" s="1"/>
  <c r="B12" i="2"/>
  <c r="B11" i="2"/>
  <c r="B10" i="2"/>
  <c r="B9" i="2"/>
  <c r="H5" i="1"/>
  <c r="H14" i="1"/>
  <c r="G14" i="1"/>
  <c r="G13" i="1"/>
  <c r="H13" i="1" s="1"/>
  <c r="G12" i="1"/>
  <c r="H12" i="1" s="1"/>
  <c r="G11" i="1"/>
  <c r="H11" i="1" s="1"/>
  <c r="H10" i="1"/>
  <c r="G10" i="1"/>
  <c r="G9" i="1"/>
  <c r="H9" i="1" s="1"/>
  <c r="G8" i="1"/>
  <c r="H8" i="1" s="1"/>
  <c r="G7" i="1"/>
  <c r="H6" i="1"/>
  <c r="G6" i="1"/>
  <c r="G5" i="1"/>
  <c r="H7" i="1" l="1"/>
</calcChain>
</file>

<file path=xl/sharedStrings.xml><?xml version="1.0" encoding="utf-8"?>
<sst xmlns="http://schemas.openxmlformats.org/spreadsheetml/2006/main" count="299" uniqueCount="177">
  <si>
    <t>STAKEHOLDER REGISTER</t>
  </si>
  <si>
    <t>ID</t>
  </si>
  <si>
    <t>Stakeholder</t>
  </si>
  <si>
    <t>Vai trò trong dự án</t>
  </si>
  <si>
    <t>Quan tâm chính</t>
  </si>
  <si>
    <t>Ảnh hưởng</t>
  </si>
  <si>
    <t>Mức quan tâm</t>
  </si>
  <si>
    <t>Nhóm chiến lược</t>
  </si>
  <si>
    <t>Chiến lược tiếp cận</t>
  </si>
  <si>
    <t>Kênh giao tiếp</t>
  </si>
  <si>
    <t>Tần suất</t>
  </si>
  <si>
    <t>Ghi chú</t>
  </si>
  <si>
    <t>SH-01</t>
  </si>
  <si>
    <t>Giám đốc Khối TMĐT</t>
  </si>
  <si>
    <t>KPI, chi phí, thời hạn</t>
  </si>
  <si>
    <t>Cao</t>
  </si>
  <si>
    <t>Họp trực tiếp, Email báo cáo</t>
  </si>
  <si>
    <t>Hàng tuần</t>
  </si>
  <si>
    <t>SH-02</t>
  </si>
  <si>
    <t>Product Owner</t>
  </si>
  <si>
    <t>Quản lý backlog, ưu tiên tính năng</t>
  </si>
  <si>
    <t>Giá trị sản phẩm</t>
  </si>
  <si>
    <t>Họp, Slack/Teams, Jira</t>
  </si>
  <si>
    <t>Hàng ngày</t>
  </si>
  <si>
    <t>SH-03</t>
  </si>
  <si>
    <t>Trưởng phòng CSKH</t>
  </si>
  <si>
    <t>Người dùng chính của trang Admin</t>
  </si>
  <si>
    <t>Giảm tải hotline, dễ thao tác</t>
  </si>
  <si>
    <t>Workshop, Họp</t>
  </si>
  <si>
    <t>SH-04</t>
  </si>
  <si>
    <t>Kế toán / Tài chính</t>
  </si>
  <si>
    <t>Duyệt và đối soát hoàn tiền</t>
  </si>
  <si>
    <t>Chính xác, chống thất thoát</t>
  </si>
  <si>
    <t>Trung bình</t>
  </si>
  <si>
    <t>Workshop, Email</t>
  </si>
  <si>
    <t>Theo mốc</t>
  </si>
  <si>
    <t>SH-05</t>
  </si>
  <si>
    <t>Pháp chế</t>
  </si>
  <si>
    <t>Rà soát chính sách đổi trả</t>
  </si>
  <si>
    <t>Tuân thủ pháp luật</t>
  </si>
  <si>
    <t>Thấp</t>
  </si>
  <si>
    <t>Email, Họp review</t>
  </si>
  <si>
    <t>SH-06</t>
  </si>
  <si>
    <t>Quản lý kho / Logistics</t>
  </si>
  <si>
    <t>Tiếp nhận, kiểm tra hàng trả</t>
  </si>
  <si>
    <t>Quy trình rõ, không tồn đọng</t>
  </si>
  <si>
    <t>Workshop, Sprint review</t>
  </si>
  <si>
    <t>2 tuần/lần</t>
  </si>
  <si>
    <t>SH-07</t>
  </si>
  <si>
    <t>Quản lý cửa hàng</t>
  </si>
  <si>
    <t>Tiếp nhận hàng trả tại cửa hàng</t>
  </si>
  <si>
    <t>Không tăng tải nhân viên</t>
  </si>
  <si>
    <t>Email, Sprint review</t>
  </si>
  <si>
    <t>SH-08</t>
  </si>
  <si>
    <t>Đội IT (Dev, QA, Designer)</t>
  </si>
  <si>
    <t>Xây dựng hệ thống</t>
  </si>
  <si>
    <t>Yêu cầu rõ ràng, khả thi</t>
  </si>
  <si>
    <t>Daily standup, Jira, Slack/Teams</t>
  </si>
  <si>
    <t>SH-09</t>
  </si>
  <si>
    <t>Khách hàng</t>
  </si>
  <si>
    <t>Người dùng cuối</t>
  </si>
  <si>
    <t>Nhanh, dễ, minh bạch</t>
  </si>
  <si>
    <t>Phỏng vấn, khảo sát, UAT</t>
  </si>
  <si>
    <t>Ảnh hưởng gián tiếp</t>
  </si>
  <si>
    <t>SH-10</t>
  </si>
  <si>
    <t>Đối tác thanh toán, vận chuyển</t>
  </si>
  <si>
    <t>Cung cấp API hoàn tiền, lấy hàng</t>
  </si>
  <si>
    <t>Tích hợp đúng chuẩn</t>
  </si>
  <si>
    <t>Email, họp kỹ thuật</t>
  </si>
  <si>
    <t>Khi tích hợp</t>
  </si>
  <si>
    <t>MA TRẬN ẢNH HƯỞNG / QUAN TÂM (POWER / INTEREST)</t>
  </si>
  <si>
    <t>Mức quan tâm THẤP / TRUNG BÌNH</t>
  </si>
  <si>
    <t>Mức quan tâm CAO</t>
  </si>
  <si>
    <t>Ảnh hưởng CAO</t>
  </si>
  <si>
    <t>Ảnh hưởng THẤP / TRUNG BÌNH</t>
  </si>
  <si>
    <t>Nhóm</t>
  </si>
  <si>
    <t>Số stakeholder</t>
  </si>
  <si>
    <t>Manage Closely</t>
  </si>
  <si>
    <t>Keep Satisfied</t>
  </si>
  <si>
    <t>Keep Informed</t>
  </si>
  <si>
    <t>Monitor</t>
  </si>
  <si>
    <t>Chiến lược theo nhóm</t>
  </si>
  <si>
    <t>Tham gia trực tiếp các quyết định; họp định kỳ; xin phê duyệt ở mọi mốc</t>
  </si>
  <si>
    <t>Mời review và ký duyệt các phần liên quan; tham vấn khi có thay đổi chính sách</t>
  </si>
  <si>
    <t>Cập nhật tiến độ thường xuyên; mời workshop, UAT và sprint review</t>
  </si>
  <si>
    <t>Thông tin khi cần tích hợp; theo dõi rủi ro tiến độ phía đối tác</t>
  </si>
  <si>
    <t>MA TRẬN RACI</t>
  </si>
  <si>
    <t>Hoạt động</t>
  </si>
  <si>
    <t>Sponsor</t>
  </si>
  <si>
    <t>BA</t>
  </si>
  <si>
    <t>CSKH</t>
  </si>
  <si>
    <t>Kho</t>
  </si>
  <si>
    <t>Kế toán</t>
  </si>
  <si>
    <t>Designer</t>
  </si>
  <si>
    <t>Dev</t>
  </si>
  <si>
    <t>QA</t>
  </si>
  <si>
    <t>Phê duyệt phạm vi, BRD</t>
  </si>
  <si>
    <t>A</t>
  </si>
  <si>
    <t>R</t>
  </si>
  <si>
    <t>C</t>
  </si>
  <si>
    <t>I</t>
  </si>
  <si>
    <t>Cung cấp thông tin nghiệp vụ</t>
  </si>
  <si>
    <t>Viết BRD, SRS, User Story</t>
  </si>
  <si>
    <t>Thống nhất Business Rules</t>
  </si>
  <si>
    <t>Thiết kế wireframe màn hình</t>
  </si>
  <si>
    <t>Ước lượng, lập kế hoạch sprint</t>
  </si>
  <si>
    <t>Phát triển tính năng</t>
  </si>
  <si>
    <t>Kiểm thử hệ thống (QA)</t>
  </si>
  <si>
    <t>Kiểm thử chấp nhận (UAT)</t>
  </si>
  <si>
    <t>Đào tạo người dùng</t>
  </si>
  <si>
    <t>Phê duyệt go-live</t>
  </si>
  <si>
    <t>R = Responsible (thực hiện) · A = Accountable (chịu trách nhiệm cuối, phê duyệt) · C = Consulted (được tham vấn) · I = Informed (được thông báo). Mỗi hoạt động chỉ có một A.</t>
  </si>
  <si>
    <t>COMMUNICATION PLAN</t>
  </si>
  <si>
    <t>#</t>
  </si>
  <si>
    <t>Mục đích</t>
  </si>
  <si>
    <t>Đối tượng</t>
  </si>
  <si>
    <t>Hình thức</t>
  </si>
  <si>
    <t>Chủ trì</t>
  </si>
  <si>
    <t>Output</t>
  </si>
  <si>
    <t>Công cụ</t>
  </si>
  <si>
    <t>Kickoff meeting</t>
  </si>
  <si>
    <t>Thống nhất mục tiêu, phạm vi, vai trò</t>
  </si>
  <si>
    <t>Stakeholders chính</t>
  </si>
  <si>
    <t>1 lần</t>
  </si>
  <si>
    <t>Offline</t>
  </si>
  <si>
    <t>PM/BA</t>
  </si>
  <si>
    <t>Biên bản, Brief được duyệt</t>
  </si>
  <si>
    <t>Google Meet / Phòng họp</t>
  </si>
  <si>
    <t>Workshop thu thập yêu cầu</t>
  </si>
  <si>
    <t>Làm rõ quy trình, Business Rules</t>
  </si>
  <si>
    <t>CSKH, Kho, Kế toán, Pháp chế</t>
  </si>
  <si>
    <t>Offline/Online</t>
  </si>
  <si>
    <t>Biên bản, BPMN, danh sách yêu cầu</t>
  </si>
  <si>
    <t>Miro, Google Meet</t>
  </si>
  <si>
    <t>Phỏng vấn 1-1</t>
  </si>
  <si>
    <t>Hiểu sâu pain point từng vai trò</t>
  </si>
  <si>
    <t>Nhân viên CSKH, cửa hàng, kho</t>
  </si>
  <si>
    <t>Theo nhu cầu</t>
  </si>
  <si>
    <t>Online</t>
  </si>
  <si>
    <t>Ghi chú phỏng vấn</t>
  </si>
  <si>
    <t>Google Meet</t>
  </si>
  <si>
    <t>Weekly status report</t>
  </si>
  <si>
    <t>Cập nhật tiến độ, rủi ro</t>
  </si>
  <si>
    <t>Sponsor, PO</t>
  </si>
  <si>
    <t>Email</t>
  </si>
  <si>
    <t>Status report</t>
  </si>
  <si>
    <t>Email, Confluence</t>
  </si>
  <si>
    <t>Daily standup</t>
  </si>
  <si>
    <t>Đồng bộ công việc</t>
  </si>
  <si>
    <t>Đội IT, BA</t>
  </si>
  <si>
    <t>Hàng ngày (giai đoạn phát triển)</t>
  </si>
  <si>
    <t>Online 15 phút</t>
  </si>
  <si>
    <t>Scrum Master</t>
  </si>
  <si>
    <t>Jira cập nhật</t>
  </si>
  <si>
    <t>Jira, Google Meet</t>
  </si>
  <si>
    <t>Sprint review</t>
  </si>
  <si>
    <t>Demo, nhận phản hồi</t>
  </si>
  <si>
    <t>PO, CSKH, Kho</t>
  </si>
  <si>
    <t>Cuối mỗi sprint</t>
  </si>
  <si>
    <t>PO</t>
  </si>
  <si>
    <t>Feedback, backlog điều chỉnh</t>
  </si>
  <si>
    <t>Sign-off tài liệu</t>
  </si>
  <si>
    <t>Phê duyệt SRS, Business Rules</t>
  </si>
  <si>
    <t>Sponsor, PO, Pháp chế</t>
  </si>
  <si>
    <t>Email + Confluence</t>
  </si>
  <si>
    <t>Tài liệu được duyệt</t>
  </si>
  <si>
    <t>Kênh trao đổi hàng ngày</t>
  </si>
  <si>
    <t>Hỏi đáp nhanh</t>
  </si>
  <si>
    <t>Toàn đội</t>
  </si>
  <si>
    <t>Liên tục</t>
  </si>
  <si>
    <t>Slack/Teams</t>
  </si>
  <si>
    <t>Tất cả</t>
  </si>
  <si>
    <t>—</t>
  </si>
  <si>
    <t>Dự án: Tính năng Trả hàng &amp; Hoàn tiền - Công ty Điện Máy Cam  |  Mã: RR-STK-001  |  Phiên bản 1.0  |  Cập nhật: 05/08/2026  |  Người quản lý: Lê Văn Mạnh (BA)</t>
  </si>
  <si>
    <t>Sponsor - phê duyệt ngân sách, quyết định cuối</t>
  </si>
  <si>
    <t>3-4 buổi (tuần 1-3)</t>
  </si>
  <si>
    <t>Ma trận tự cập nhật khi thay đổi cột Ảnh hưởng / Mức quan tâm ở sheet Stakeholder Register. Quy tắc: Ảnh hưởng "Cao"+ Quan tâm "Cao" = Manage Closely; chỉ Ảnh hưởng "Cao" = Keep Satisfied; chỉ Quan tâm "Cao" = Keep Informed; còn lại = Monitor.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</si>
</sst>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4"/>
      <color rgb="FFC55A11"/>
      <name val="Arial"/>
      <family val="2"/>
    </font>
    <font>
      <i/>
      <sz val="9"/>
      <color rgb="FF595959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rgb="FFC55A1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C55A11"/>
        <bgColor rgb="FF993300"/>
      </patternFill>
    </fill>
    <fill>
      <patternFill patternType="solid">
        <fgColor rgb="FFFFF2CC"/>
        <bgColor rgb="FFFBE5D6"/>
      </patternFill>
    </fill>
    <fill>
      <patternFill patternType="solid">
        <fgColor rgb="FFFBE5D6"/>
        <bgColor rgb="FFFFF2CC"/>
      </patternFill>
    </fill>
    <fill>
      <patternFill patternType="solid">
        <fgColor rgb="FFFFE699"/>
        <bgColor rgb="FFFFF2CC"/>
      </patternFill>
    </fill>
    <fill>
      <patternFill patternType="solid">
        <fgColor rgb="FFF8CBAD"/>
        <bgColor rgb="FFFFE699"/>
      </patternFill>
    </fill>
    <fill>
      <patternFill patternType="solid">
        <fgColor rgb="FFE2EFDA"/>
        <bgColor rgb="FFFBE5D6"/>
      </patternFill>
    </fill>
    <fill>
      <patternFill patternType="solid">
        <fgColor rgb="FFBDD7EE"/>
        <bgColor rgb="FF99CC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Alignment="1">
      <alignment wrapText="1"/>
    </xf>
    <xf numFmtId="0" fontId="4" fillId="0" borderId="1" xfId="0" applyFont="1" applyBorder="1" applyAlignment="1">
      <alignment vertical="center" wrapText="1"/>
    </xf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vertical="top" wrapText="1"/>
    </xf>
    <xf numFmtId="0" fontId="4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6" fillId="0" borderId="0" xfId="0" applyFont="1"/>
    <xf numFmtId="0" fontId="5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8">
    <dxf>
      <fill>
        <patternFill>
          <bgColor rgb="FFE2EFDA"/>
        </patternFill>
      </fill>
    </dxf>
    <dxf>
      <fill>
        <patternFill>
          <bgColor rgb="FFBDD7EE"/>
        </patternFill>
      </fill>
    </dxf>
    <dxf>
      <fill>
        <patternFill>
          <bgColor rgb="FFFFE699"/>
        </patternFill>
      </fill>
    </dxf>
    <dxf>
      <fill>
        <patternFill>
          <bgColor rgb="FFF8CBAD"/>
        </patternFill>
      </fill>
    </dxf>
    <dxf>
      <fill>
        <patternFill>
          <bgColor rgb="FFE2EFDA"/>
        </patternFill>
      </fill>
    </dxf>
    <dxf>
      <fill>
        <patternFill>
          <bgColor rgb="FFBDD7EE"/>
        </patternFill>
      </fill>
    </dxf>
    <dxf>
      <fill>
        <patternFill>
          <bgColor rgb="FFFFE699"/>
        </patternFill>
      </fill>
    </dxf>
    <dxf>
      <fill>
        <patternFill>
          <bgColor rgb="FFF8CBA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BE5D6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C55A11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4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H8" sqref="H8"/>
    </sheetView>
  </sheetViews>
  <sheetFormatPr defaultColWidth="8.6640625" defaultRowHeight="14.4" x14ac:dyDescent="0.3"/>
  <cols>
    <col min="1" max="1" width="7" customWidth="1"/>
    <col min="2" max="2" width="22" customWidth="1"/>
    <col min="3" max="3" width="30" customWidth="1"/>
    <col min="4" max="4" width="26" customWidth="1"/>
    <col min="5" max="6" width="11" customWidth="1"/>
    <col min="7" max="7" width="17" customWidth="1"/>
    <col min="8" max="8" width="36" customWidth="1"/>
    <col min="9" max="9" width="20" customWidth="1"/>
    <col min="10" max="10" width="14" customWidth="1"/>
    <col min="11" max="11" width="22" customWidth="1"/>
  </cols>
  <sheetData>
    <row r="1" spans="1:11" ht="17.399999999999999" x14ac:dyDescent="0.3">
      <c r="A1" s="3" t="s">
        <v>0</v>
      </c>
    </row>
    <row r="2" spans="1:11" x14ac:dyDescent="0.3">
      <c r="A2" s="4" t="s">
        <v>173</v>
      </c>
    </row>
    <row r="4" spans="1:11" ht="31.5" customHeight="1" x14ac:dyDescent="0.3">
      <c r="A4" s="5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  <c r="J4" s="5" t="s">
        <v>10</v>
      </c>
      <c r="K4" s="5" t="s">
        <v>11</v>
      </c>
    </row>
    <row r="5" spans="1:11" ht="26.4" x14ac:dyDescent="0.3">
      <c r="A5" s="6" t="s">
        <v>12</v>
      </c>
      <c r="B5" s="7" t="s">
        <v>13</v>
      </c>
      <c r="C5" s="7" t="s">
        <v>174</v>
      </c>
      <c r="D5" s="7" t="s">
        <v>14</v>
      </c>
      <c r="E5" s="8" t="s">
        <v>15</v>
      </c>
      <c r="F5" s="8" t="s">
        <v>15</v>
      </c>
      <c r="G5" s="6" t="str">
        <f>IF(AND(E5="Cao",F5="Cao"),"Manage Closely",IF(E5="Cao","Keep Satisfied",IF(F5="Cao","Keep Informed","Monitor")))</f>
        <v>Manage Closely</v>
      </c>
      <c r="H5" s="7" t="str">
        <f>IFERROR(VLOOKUP(G5,Matrix!$A$14:$B$17,2,FALSE()),"")</f>
        <v>Tham gia trực tiếp các quyết định; họp định kỳ; xin phê duyệt ở mọi mốc</v>
      </c>
      <c r="I5" s="9" t="s">
        <v>16</v>
      </c>
      <c r="J5" s="8" t="s">
        <v>17</v>
      </c>
      <c r="K5" s="9"/>
    </row>
    <row r="6" spans="1:11" ht="26.4" x14ac:dyDescent="0.3">
      <c r="A6" s="6" t="s">
        <v>18</v>
      </c>
      <c r="B6" s="7" t="s">
        <v>19</v>
      </c>
      <c r="C6" s="7" t="s">
        <v>20</v>
      </c>
      <c r="D6" s="7" t="s">
        <v>21</v>
      </c>
      <c r="E6" s="8" t="s">
        <v>15</v>
      </c>
      <c r="F6" s="8" t="s">
        <v>15</v>
      </c>
      <c r="G6" s="6" t="str">
        <f>IF(AND(E6="Cao",F6="Cao"),"Manage Closely",IF(E6="Cao","Keep Satisfied",IF(F6="Cao","Keep Informed","Monitor")))</f>
        <v>Manage Closely</v>
      </c>
      <c r="H6" s="7" t="str">
        <f>IFERROR(VLOOKUP(G6,Matrix!$A$14:$B$17,2,FALSE()),"")</f>
        <v>Tham gia trực tiếp các quyết định; họp định kỳ; xin phê duyệt ở mọi mốc</v>
      </c>
      <c r="I6" s="9" t="s">
        <v>22</v>
      </c>
      <c r="J6" s="8" t="s">
        <v>23</v>
      </c>
      <c r="K6" s="9"/>
    </row>
    <row r="7" spans="1:11" ht="26.4" x14ac:dyDescent="0.3">
      <c r="A7" s="6" t="s">
        <v>24</v>
      </c>
      <c r="B7" s="7" t="s">
        <v>25</v>
      </c>
      <c r="C7" s="7" t="s">
        <v>26</v>
      </c>
      <c r="D7" s="7" t="s">
        <v>27</v>
      </c>
      <c r="E7" s="8" t="s">
        <v>15</v>
      </c>
      <c r="F7" s="8" t="s">
        <v>15</v>
      </c>
      <c r="G7" s="6" t="str">
        <f>IF(AND(E7="Cao",F7="Cao"),"Manage Closely",IF(E7="Cao","Keep Satisfied",IF(F7="Cao","Keep Informed","Monitor")))</f>
        <v>Manage Closely</v>
      </c>
      <c r="H7" s="7" t="str">
        <f>IFERROR(VLOOKUP(G7,Matrix!$A$14:$B$17,2,FALSE()),"")</f>
        <v>Tham gia trực tiếp các quyết định; họp định kỳ; xin phê duyệt ở mọi mốc</v>
      </c>
      <c r="I7" s="9" t="s">
        <v>28</v>
      </c>
      <c r="J7" s="8" t="s">
        <v>17</v>
      </c>
      <c r="K7" s="9"/>
    </row>
    <row r="8" spans="1:11" ht="39.6" x14ac:dyDescent="0.3">
      <c r="A8" s="6" t="s">
        <v>29</v>
      </c>
      <c r="B8" s="7" t="s">
        <v>30</v>
      </c>
      <c r="C8" s="7" t="s">
        <v>31</v>
      </c>
      <c r="D8" s="7" t="s">
        <v>32</v>
      </c>
      <c r="E8" s="8" t="s">
        <v>15</v>
      </c>
      <c r="F8" s="8" t="s">
        <v>33</v>
      </c>
      <c r="G8" s="6" t="str">
        <f>IF(AND(E8="Cao",F8="Cao"),"Manage Closely",IF(E8="Cao","Keep Satisfied",IF(F8="Cao","Keep Informed","Monitor")))</f>
        <v>Keep Satisfied</v>
      </c>
      <c r="H8" s="7" t="str">
        <f>IFERROR(VLOOKUP(G8,Matrix!$A$14:$B$17,2,FALSE()),"")</f>
        <v>Mời review và ký duyệt các phần liên quan; tham vấn khi có thay đổi chính sách</v>
      </c>
      <c r="I8" s="9" t="s">
        <v>34</v>
      </c>
      <c r="J8" s="8" t="s">
        <v>35</v>
      </c>
      <c r="K8" s="9"/>
    </row>
    <row r="9" spans="1:11" ht="39.6" x14ac:dyDescent="0.3">
      <c r="A9" s="6" t="s">
        <v>36</v>
      </c>
      <c r="B9" s="7" t="s">
        <v>37</v>
      </c>
      <c r="C9" s="7" t="s">
        <v>38</v>
      </c>
      <c r="D9" s="7" t="s">
        <v>39</v>
      </c>
      <c r="E9" s="8" t="s">
        <v>15</v>
      </c>
      <c r="F9" s="8" t="s">
        <v>40</v>
      </c>
      <c r="G9" s="6" t="str">
        <f>IF(AND(E9="Cao",F9="Cao"),"Manage Closely",IF(E9="Cao","Keep Satisfied",IF(F9="Cao","Keep Informed","Monitor")))</f>
        <v>Keep Satisfied</v>
      </c>
      <c r="H9" s="7" t="str">
        <f>IFERROR(VLOOKUP(G9,Matrix!$A$14:$B$17,2,FALSE()),"")</f>
        <v>Mời review và ký duyệt các phần liên quan; tham vấn khi có thay đổi chính sách</v>
      </c>
      <c r="I9" s="9" t="s">
        <v>41</v>
      </c>
      <c r="J9" s="8" t="s">
        <v>35</v>
      </c>
      <c r="K9" s="9"/>
    </row>
    <row r="10" spans="1:11" ht="26.4" x14ac:dyDescent="0.3">
      <c r="A10" s="6" t="s">
        <v>42</v>
      </c>
      <c r="B10" s="7" t="s">
        <v>43</v>
      </c>
      <c r="C10" s="7" t="s">
        <v>44</v>
      </c>
      <c r="D10" s="7" t="s">
        <v>45</v>
      </c>
      <c r="E10" s="8" t="s">
        <v>33</v>
      </c>
      <c r="F10" s="8" t="s">
        <v>15</v>
      </c>
      <c r="G10" s="6" t="str">
        <f>IF(AND(E10="Cao",F10="Cao"),"Manage Closely",IF(E10="Cao","Keep Satisfied",IF(F10="Cao","Keep Informed","Monitor")))</f>
        <v>Keep Informed</v>
      </c>
      <c r="H10" s="7" t="str">
        <f>IFERROR(VLOOKUP(G10,Matrix!$A$14:$B$17,2,FALSE()),"")</f>
        <v>Cập nhật tiến độ thường xuyên; mời workshop, UAT và sprint review</v>
      </c>
      <c r="I10" s="9" t="s">
        <v>46</v>
      </c>
      <c r="J10" s="8" t="s">
        <v>47</v>
      </c>
      <c r="K10" s="9"/>
    </row>
    <row r="11" spans="1:11" ht="26.4" x14ac:dyDescent="0.3">
      <c r="A11" s="6" t="s">
        <v>48</v>
      </c>
      <c r="B11" s="7" t="s">
        <v>49</v>
      </c>
      <c r="C11" s="7" t="s">
        <v>50</v>
      </c>
      <c r="D11" s="7" t="s">
        <v>51</v>
      </c>
      <c r="E11" s="8" t="s">
        <v>33</v>
      </c>
      <c r="F11" s="8" t="s">
        <v>15</v>
      </c>
      <c r="G11" s="6" t="str">
        <f>IF(AND(E11="Cao",F11="Cao"),"Manage Closely",IF(E11="Cao","Keep Satisfied",IF(F11="Cao","Keep Informed","Monitor")))</f>
        <v>Keep Informed</v>
      </c>
      <c r="H11" s="7" t="str">
        <f>IFERROR(VLOOKUP(G11,Matrix!$A$14:$B$17,2,FALSE()),"")</f>
        <v>Cập nhật tiến độ thường xuyên; mời workshop, UAT và sprint review</v>
      </c>
      <c r="I11" s="9" t="s">
        <v>52</v>
      </c>
      <c r="J11" s="8" t="s">
        <v>47</v>
      </c>
      <c r="K11" s="9"/>
    </row>
    <row r="12" spans="1:11" ht="26.4" x14ac:dyDescent="0.3">
      <c r="A12" s="6" t="s">
        <v>53</v>
      </c>
      <c r="B12" s="7" t="s">
        <v>54</v>
      </c>
      <c r="C12" s="7" t="s">
        <v>55</v>
      </c>
      <c r="D12" s="7" t="s">
        <v>56</v>
      </c>
      <c r="E12" s="8" t="s">
        <v>33</v>
      </c>
      <c r="F12" s="8" t="s">
        <v>15</v>
      </c>
      <c r="G12" s="6" t="str">
        <f>IF(AND(E12="Cao",F12="Cao"),"Manage Closely",IF(E12="Cao","Keep Satisfied",IF(F12="Cao","Keep Informed","Monitor")))</f>
        <v>Keep Informed</v>
      </c>
      <c r="H12" s="7" t="str">
        <f>IFERROR(VLOOKUP(G12,Matrix!$A$14:$B$17,2,FALSE()),"")</f>
        <v>Cập nhật tiến độ thường xuyên; mời workshop, UAT và sprint review</v>
      </c>
      <c r="I12" s="9" t="s">
        <v>57</v>
      </c>
      <c r="J12" s="8" t="s">
        <v>23</v>
      </c>
      <c r="K12" s="9"/>
    </row>
    <row r="13" spans="1:11" ht="26.4" x14ac:dyDescent="0.3">
      <c r="A13" s="6" t="s">
        <v>58</v>
      </c>
      <c r="B13" s="7" t="s">
        <v>59</v>
      </c>
      <c r="C13" s="7" t="s">
        <v>60</v>
      </c>
      <c r="D13" s="7" t="s">
        <v>61</v>
      </c>
      <c r="E13" s="8" t="s">
        <v>40</v>
      </c>
      <c r="F13" s="8" t="s">
        <v>15</v>
      </c>
      <c r="G13" s="6" t="str">
        <f>IF(AND(E13="Cao",F13="Cao"),"Manage Closely",IF(E13="Cao","Keep Satisfied",IF(F13="Cao","Keep Informed","Monitor")))</f>
        <v>Keep Informed</v>
      </c>
      <c r="H13" s="7" t="str">
        <f>IFERROR(VLOOKUP(G13,Matrix!$A$14:$B$17,2,FALSE()),"")</f>
        <v>Cập nhật tiến độ thường xuyên; mời workshop, UAT và sprint review</v>
      </c>
      <c r="I13" s="9" t="s">
        <v>62</v>
      </c>
      <c r="J13" s="8" t="s">
        <v>35</v>
      </c>
      <c r="K13" s="9" t="s">
        <v>63</v>
      </c>
    </row>
    <row r="14" spans="1:11" ht="26.4" x14ac:dyDescent="0.3">
      <c r="A14" s="6" t="s">
        <v>64</v>
      </c>
      <c r="B14" s="7" t="s">
        <v>65</v>
      </c>
      <c r="C14" s="7" t="s">
        <v>66</v>
      </c>
      <c r="D14" s="7" t="s">
        <v>67</v>
      </c>
      <c r="E14" s="8" t="s">
        <v>40</v>
      </c>
      <c r="F14" s="8" t="s">
        <v>33</v>
      </c>
      <c r="G14" s="6" t="str">
        <f>IF(AND(E14="Cao",F14="Cao"),"Manage Closely",IF(E14="Cao","Keep Satisfied",IF(F14="Cao","Keep Informed","Monitor")))</f>
        <v>Monitor</v>
      </c>
      <c r="H14" s="7" t="str">
        <f>IFERROR(VLOOKUP(G14,Matrix!$A$14:$B$17,2,FALSE()),"")</f>
        <v>Thông tin khi cần tích hợp; theo dõi rủi ro tiến độ phía đối tác</v>
      </c>
      <c r="I14" s="9" t="s">
        <v>68</v>
      </c>
      <c r="J14" s="8" t="s">
        <v>69</v>
      </c>
      <c r="K14" s="9"/>
    </row>
  </sheetData>
  <autoFilter ref="A4:K14" xr:uid="{00000000-0009-0000-0000-000000000000}"/>
  <conditionalFormatting sqref="G5:G100">
    <cfRule type="cellIs" dxfId="7" priority="2" operator="equal">
      <formula>"Manage Closely"</formula>
    </cfRule>
    <cfRule type="cellIs" dxfId="6" priority="3" operator="equal">
      <formula>"Keep Satisfied"</formula>
    </cfRule>
    <cfRule type="cellIs" dxfId="5" priority="4" operator="equal">
      <formula>"Keep Informed"</formula>
    </cfRule>
    <cfRule type="cellIs" dxfId="4" priority="5" operator="equal">
      <formula>"Monitor"</formula>
    </cfRule>
  </conditionalFormatting>
  <dataValidations count="1">
    <dataValidation type="list" sqref="E5:F100" xr:uid="{00000000-0002-0000-0000-000000000000}">
      <formula1>"Cao,Trung bình,Thấp"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19"/>
  <sheetViews>
    <sheetView showGridLines="0" topLeftCell="A5" zoomScale="112" zoomScaleNormal="100" workbookViewId="0">
      <selection activeCell="F21" sqref="F21"/>
    </sheetView>
  </sheetViews>
  <sheetFormatPr defaultColWidth="8.6640625" defaultRowHeight="14.4" x14ac:dyDescent="0.3"/>
  <cols>
    <col min="1" max="1" width="22" customWidth="1"/>
    <col min="2" max="3" width="42" customWidth="1"/>
    <col min="4" max="4" width="4" customWidth="1"/>
  </cols>
  <sheetData>
    <row r="1" spans="1:3" ht="17.399999999999999" x14ac:dyDescent="0.3">
      <c r="A1" s="3" t="s">
        <v>70</v>
      </c>
    </row>
    <row r="2" spans="1:3" x14ac:dyDescent="0.3">
      <c r="A2" s="4" t="s">
        <v>173</v>
      </c>
    </row>
    <row r="4" spans="1:3" x14ac:dyDescent="0.3">
      <c r="A4" s="10"/>
      <c r="B4" s="11" t="s">
        <v>71</v>
      </c>
      <c r="C4" s="11" t="s">
        <v>72</v>
      </c>
    </row>
    <row r="5" spans="1:3" ht="90" customHeight="1" x14ac:dyDescent="0.3">
      <c r="A5" s="11" t="s">
        <v>73</v>
      </c>
      <c r="B5" s="12" t="str">
        <f t="array" ref="B5">_xlfn.TEXTJOIN(CHAR(10),TRUE(),IF('Stakeholder Register'!$G$5:$G$14="Keep Satisfied",'Stakeholder Register'!$B$5:$B$14,""))</f>
        <v>Kế toán / Tài chính
Pháp chế</v>
      </c>
      <c r="C5" s="13" t="str">
        <f t="array" ref="C5">_xlfn.TEXTJOIN(CHAR(10),TRUE(),IF('Stakeholder Register'!$G$5:$G$14="Manage Closely",'Stakeholder Register'!$B$5:$B$14,""))</f>
        <v>Giám đốc Khối TMĐT
Product Owner
Trưởng phòng CSKH</v>
      </c>
    </row>
    <row r="6" spans="1:3" ht="90" customHeight="1" x14ac:dyDescent="0.3">
      <c r="A6" s="11" t="s">
        <v>74</v>
      </c>
      <c r="B6" s="14" t="str">
        <f t="array" ref="B6">_xlfn.TEXTJOIN(CHAR(10),TRUE(),IF('Stakeholder Register'!$G$5:$G$14="Monitor",'Stakeholder Register'!$B$5:$B$14,""))</f>
        <v>Đối tác thanh toán, vận chuyển</v>
      </c>
      <c r="C6" s="15" t="str">
        <f t="array" ref="C6">_xlfn.TEXTJOIN(CHAR(10),TRUE(),IF('Stakeholder Register'!$G$5:$G$14="Keep Informed",'Stakeholder Register'!$B$5:$B$14,""))</f>
        <v>Quản lý kho / Logistics
Quản lý cửa hàng
Đội IT (Dev, QA, Designer)
Khách hàng</v>
      </c>
    </row>
    <row r="8" spans="1:3" x14ac:dyDescent="0.3">
      <c r="A8" s="11" t="s">
        <v>75</v>
      </c>
      <c r="B8" s="11" t="s">
        <v>76</v>
      </c>
    </row>
    <row r="9" spans="1:3" x14ac:dyDescent="0.3">
      <c r="A9" s="10" t="s">
        <v>77</v>
      </c>
      <c r="B9" s="10">
        <f>COUNTIF('Stakeholder Register'!$G$5:$G$14,A9)</f>
        <v>3</v>
      </c>
    </row>
    <row r="10" spans="1:3" x14ac:dyDescent="0.3">
      <c r="A10" s="10" t="s">
        <v>78</v>
      </c>
      <c r="B10" s="10">
        <f>COUNTIF('Stakeholder Register'!$G$5:$G$14,A10)</f>
        <v>2</v>
      </c>
    </row>
    <row r="11" spans="1:3" x14ac:dyDescent="0.3">
      <c r="A11" s="10" t="s">
        <v>79</v>
      </c>
      <c r="B11" s="10">
        <f>COUNTIF('Stakeholder Register'!$G$5:$G$14,A11)</f>
        <v>4</v>
      </c>
    </row>
    <row r="12" spans="1:3" x14ac:dyDescent="0.3">
      <c r="A12" s="10" t="s">
        <v>80</v>
      </c>
      <c r="B12" s="10">
        <f>COUNTIF('Stakeholder Register'!$G$5:$G$14,A12)</f>
        <v>1</v>
      </c>
    </row>
    <row r="13" spans="1:3" x14ac:dyDescent="0.3">
      <c r="A13" s="16" t="s">
        <v>81</v>
      </c>
    </row>
    <row r="14" spans="1:3" ht="27.75" customHeight="1" x14ac:dyDescent="0.3">
      <c r="A14" s="17" t="s">
        <v>77</v>
      </c>
      <c r="B14" s="2" t="s">
        <v>82</v>
      </c>
      <c r="C14" s="2"/>
    </row>
    <row r="15" spans="1:3" ht="27.75" customHeight="1" x14ac:dyDescent="0.3">
      <c r="A15" s="17" t="s">
        <v>78</v>
      </c>
      <c r="B15" s="2" t="s">
        <v>83</v>
      </c>
      <c r="C15" s="2"/>
    </row>
    <row r="16" spans="1:3" ht="27.75" customHeight="1" x14ac:dyDescent="0.3">
      <c r="A16" s="17" t="s">
        <v>79</v>
      </c>
      <c r="B16" s="2" t="s">
        <v>84</v>
      </c>
      <c r="C16" s="2"/>
    </row>
    <row r="17" spans="1:3" ht="27.75" customHeight="1" x14ac:dyDescent="0.3">
      <c r="A17" s="17" t="s">
        <v>80</v>
      </c>
      <c r="B17" s="2" t="s">
        <v>85</v>
      </c>
      <c r="C17" s="2"/>
    </row>
    <row r="19" spans="1:3" ht="39.75" customHeight="1" x14ac:dyDescent="0.3">
      <c r="A19" s="1" t="s">
        <v>176</v>
      </c>
      <c r="B19" s="1"/>
      <c r="C19" s="1"/>
    </row>
  </sheetData>
  <mergeCells count="5">
    <mergeCell ref="B14:C14"/>
    <mergeCell ref="B15:C15"/>
    <mergeCell ref="B16:C16"/>
    <mergeCell ref="B17:C17"/>
    <mergeCell ref="A19:C19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17"/>
  <sheetViews>
    <sheetView showGridLines="0" zoomScaleNormal="100" workbookViewId="0">
      <selection activeCell="B22" sqref="B22"/>
    </sheetView>
  </sheetViews>
  <sheetFormatPr defaultColWidth="8.6640625" defaultRowHeight="14.4" x14ac:dyDescent="0.3"/>
  <cols>
    <col min="1" max="1" width="38" customWidth="1"/>
    <col min="2" max="11" width="11" customWidth="1"/>
  </cols>
  <sheetData>
    <row r="1" spans="1:11" ht="17.399999999999999" x14ac:dyDescent="0.3">
      <c r="A1" s="3" t="s">
        <v>86</v>
      </c>
    </row>
    <row r="2" spans="1:11" x14ac:dyDescent="0.3">
      <c r="A2" s="4" t="s">
        <v>173</v>
      </c>
    </row>
    <row r="4" spans="1:11" ht="31.5" customHeight="1" x14ac:dyDescent="0.3">
      <c r="A4" s="5" t="s">
        <v>87</v>
      </c>
      <c r="B4" s="5" t="s">
        <v>88</v>
      </c>
      <c r="C4" s="5" t="s">
        <v>19</v>
      </c>
      <c r="D4" s="5" t="s">
        <v>89</v>
      </c>
      <c r="E4" s="5" t="s">
        <v>90</v>
      </c>
      <c r="F4" s="5" t="s">
        <v>91</v>
      </c>
      <c r="G4" s="5" t="s">
        <v>92</v>
      </c>
      <c r="H4" s="5" t="s">
        <v>37</v>
      </c>
      <c r="I4" s="5" t="s">
        <v>93</v>
      </c>
      <c r="J4" s="5" t="s">
        <v>94</v>
      </c>
      <c r="K4" s="5" t="s">
        <v>95</v>
      </c>
    </row>
    <row r="5" spans="1:11" x14ac:dyDescent="0.3">
      <c r="A5" s="7" t="s">
        <v>96</v>
      </c>
      <c r="B5" s="6" t="s">
        <v>97</v>
      </c>
      <c r="C5" s="6" t="s">
        <v>98</v>
      </c>
      <c r="D5" s="6" t="s">
        <v>99</v>
      </c>
      <c r="E5" s="6" t="s">
        <v>99</v>
      </c>
      <c r="F5" s="6" t="s">
        <v>99</v>
      </c>
      <c r="G5" s="6" t="s">
        <v>99</v>
      </c>
      <c r="H5" s="6" t="s">
        <v>99</v>
      </c>
      <c r="I5" s="6" t="s">
        <v>100</v>
      </c>
      <c r="J5" s="6" t="s">
        <v>100</v>
      </c>
      <c r="K5" s="6" t="s">
        <v>100</v>
      </c>
    </row>
    <row r="6" spans="1:11" x14ac:dyDescent="0.3">
      <c r="A6" s="7" t="s">
        <v>101</v>
      </c>
      <c r="B6" s="6" t="s">
        <v>100</v>
      </c>
      <c r="C6" s="6" t="s">
        <v>99</v>
      </c>
      <c r="D6" s="6" t="s">
        <v>98</v>
      </c>
      <c r="E6" s="6" t="s">
        <v>99</v>
      </c>
      <c r="F6" s="6" t="s">
        <v>99</v>
      </c>
      <c r="G6" s="6" t="s">
        <v>99</v>
      </c>
      <c r="H6" s="6" t="s">
        <v>99</v>
      </c>
      <c r="I6" s="6"/>
      <c r="J6" s="6"/>
      <c r="K6" s="6"/>
    </row>
    <row r="7" spans="1:11" x14ac:dyDescent="0.3">
      <c r="A7" s="7" t="s">
        <v>102</v>
      </c>
      <c r="B7" s="6" t="s">
        <v>100</v>
      </c>
      <c r="C7" s="6" t="s">
        <v>97</v>
      </c>
      <c r="D7" s="6" t="s">
        <v>98</v>
      </c>
      <c r="E7" s="6" t="s">
        <v>99</v>
      </c>
      <c r="F7" s="6" t="s">
        <v>99</v>
      </c>
      <c r="G7" s="6" t="s">
        <v>99</v>
      </c>
      <c r="H7" s="6" t="s">
        <v>99</v>
      </c>
      <c r="I7" s="6" t="s">
        <v>100</v>
      </c>
      <c r="J7" s="6" t="s">
        <v>100</v>
      </c>
      <c r="K7" s="6" t="s">
        <v>100</v>
      </c>
    </row>
    <row r="8" spans="1:11" x14ac:dyDescent="0.3">
      <c r="A8" s="7" t="s">
        <v>103</v>
      </c>
      <c r="B8" s="6" t="s">
        <v>100</v>
      </c>
      <c r="C8" s="6" t="s">
        <v>97</v>
      </c>
      <c r="D8" s="6" t="s">
        <v>98</v>
      </c>
      <c r="E8" s="6" t="s">
        <v>99</v>
      </c>
      <c r="F8" s="6" t="s">
        <v>99</v>
      </c>
      <c r="G8" s="6" t="s">
        <v>99</v>
      </c>
      <c r="H8" s="6" t="s">
        <v>99</v>
      </c>
      <c r="I8" s="6"/>
      <c r="J8" s="6" t="s">
        <v>100</v>
      </c>
      <c r="K8" s="6" t="s">
        <v>100</v>
      </c>
    </row>
    <row r="9" spans="1:11" x14ac:dyDescent="0.3">
      <c r="A9" s="7" t="s">
        <v>104</v>
      </c>
      <c r="B9" s="6"/>
      <c r="C9" s="6" t="s">
        <v>97</v>
      </c>
      <c r="D9" s="6" t="s">
        <v>98</v>
      </c>
      <c r="E9" s="6" t="s">
        <v>99</v>
      </c>
      <c r="F9" s="6" t="s">
        <v>100</v>
      </c>
      <c r="G9" s="6" t="s">
        <v>100</v>
      </c>
      <c r="H9" s="6"/>
      <c r="I9" s="6" t="s">
        <v>99</v>
      </c>
      <c r="J9" s="6" t="s">
        <v>99</v>
      </c>
      <c r="K9" s="6"/>
    </row>
    <row r="10" spans="1:11" x14ac:dyDescent="0.3">
      <c r="A10" s="7" t="s">
        <v>105</v>
      </c>
      <c r="B10" s="6" t="s">
        <v>100</v>
      </c>
      <c r="C10" s="6" t="s">
        <v>97</v>
      </c>
      <c r="D10" s="6" t="s">
        <v>99</v>
      </c>
      <c r="E10" s="6"/>
      <c r="F10" s="6"/>
      <c r="G10" s="6"/>
      <c r="H10" s="6"/>
      <c r="I10" s="6" t="s">
        <v>99</v>
      </c>
      <c r="J10" s="6" t="s">
        <v>98</v>
      </c>
      <c r="K10" s="6" t="s">
        <v>99</v>
      </c>
    </row>
    <row r="11" spans="1:11" x14ac:dyDescent="0.3">
      <c r="A11" s="7" t="s">
        <v>106</v>
      </c>
      <c r="B11" s="6"/>
      <c r="C11" s="6" t="s">
        <v>97</v>
      </c>
      <c r="D11" s="6" t="s">
        <v>99</v>
      </c>
      <c r="E11" s="6"/>
      <c r="F11" s="6"/>
      <c r="G11" s="6"/>
      <c r="H11" s="6"/>
      <c r="I11" s="6" t="s">
        <v>99</v>
      </c>
      <c r="J11" s="6" t="s">
        <v>98</v>
      </c>
      <c r="K11" s="6" t="s">
        <v>99</v>
      </c>
    </row>
    <row r="12" spans="1:11" x14ac:dyDescent="0.3">
      <c r="A12" s="7" t="s">
        <v>107</v>
      </c>
      <c r="B12" s="6"/>
      <c r="C12" s="6" t="s">
        <v>97</v>
      </c>
      <c r="D12" s="6" t="s">
        <v>99</v>
      </c>
      <c r="E12" s="6"/>
      <c r="F12" s="6"/>
      <c r="G12" s="6"/>
      <c r="H12" s="6"/>
      <c r="I12" s="6"/>
      <c r="J12" s="6" t="s">
        <v>99</v>
      </c>
      <c r="K12" s="6" t="s">
        <v>98</v>
      </c>
    </row>
    <row r="13" spans="1:11" x14ac:dyDescent="0.3">
      <c r="A13" s="7" t="s">
        <v>108</v>
      </c>
      <c r="B13" s="6" t="s">
        <v>100</v>
      </c>
      <c r="C13" s="6" t="s">
        <v>97</v>
      </c>
      <c r="D13" s="6" t="s">
        <v>98</v>
      </c>
      <c r="E13" s="6" t="s">
        <v>99</v>
      </c>
      <c r="F13" s="6" t="s">
        <v>99</v>
      </c>
      <c r="G13" s="6" t="s">
        <v>99</v>
      </c>
      <c r="H13" s="6"/>
      <c r="I13" s="6"/>
      <c r="J13" s="6" t="s">
        <v>99</v>
      </c>
      <c r="K13" s="6" t="s">
        <v>99</v>
      </c>
    </row>
    <row r="14" spans="1:11" x14ac:dyDescent="0.3">
      <c r="A14" s="7" t="s">
        <v>109</v>
      </c>
      <c r="B14" s="6" t="s">
        <v>100</v>
      </c>
      <c r="C14" s="6" t="s">
        <v>97</v>
      </c>
      <c r="D14" s="6" t="s">
        <v>98</v>
      </c>
      <c r="E14" s="6" t="s">
        <v>99</v>
      </c>
      <c r="F14" s="6" t="s">
        <v>99</v>
      </c>
      <c r="G14" s="6" t="s">
        <v>99</v>
      </c>
      <c r="H14" s="6"/>
      <c r="I14" s="6"/>
      <c r="J14" s="6"/>
      <c r="K14" s="6" t="s">
        <v>100</v>
      </c>
    </row>
    <row r="15" spans="1:11" x14ac:dyDescent="0.3">
      <c r="A15" s="7" t="s">
        <v>110</v>
      </c>
      <c r="B15" s="6" t="s">
        <v>97</v>
      </c>
      <c r="C15" s="6" t="s">
        <v>98</v>
      </c>
      <c r="D15" s="6" t="s">
        <v>99</v>
      </c>
      <c r="E15" s="6" t="s">
        <v>99</v>
      </c>
      <c r="F15" s="6" t="s">
        <v>99</v>
      </c>
      <c r="G15" s="6" t="s">
        <v>99</v>
      </c>
      <c r="H15" s="6" t="s">
        <v>100</v>
      </c>
      <c r="I15" s="6" t="s">
        <v>100</v>
      </c>
      <c r="J15" s="6" t="s">
        <v>100</v>
      </c>
      <c r="K15" s="6" t="s">
        <v>100</v>
      </c>
    </row>
    <row r="17" spans="1:1" x14ac:dyDescent="0.3">
      <c r="A17" s="4" t="s">
        <v>111</v>
      </c>
    </row>
  </sheetData>
  <conditionalFormatting sqref="B5:K15">
    <cfRule type="cellIs" dxfId="3" priority="2" operator="equal">
      <formula>"R"</formula>
    </cfRule>
    <cfRule type="cellIs" dxfId="2" priority="3" operator="equal">
      <formula>"A"</formula>
    </cfRule>
    <cfRule type="cellIs" dxfId="1" priority="4" operator="equal">
      <formula>"C"</formula>
    </cfRule>
    <cfRule type="cellIs" dxfId="0" priority="5" operator="equal">
      <formula>"I"</formula>
    </cfRule>
  </conditionalFormatting>
  <pageMargins left="0.75" right="0.75" top="1" bottom="1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12"/>
  <sheetViews>
    <sheetView showGridLines="0" tabSelected="1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ColWidth="8.6640625" defaultRowHeight="14.4" x14ac:dyDescent="0.3"/>
  <cols>
    <col min="1" max="1" width="5" customWidth="1"/>
    <col min="2" max="2" width="24" customWidth="1"/>
    <col min="3" max="3" width="32" customWidth="1"/>
    <col min="4" max="4" width="28" customWidth="1"/>
    <col min="5" max="5" width="18" customWidth="1"/>
    <col min="6" max="6" width="16" customWidth="1"/>
    <col min="7" max="7" width="13" customWidth="1"/>
    <col min="8" max="8" width="30" customWidth="1"/>
    <col min="9" max="9" width="18" customWidth="1"/>
  </cols>
  <sheetData>
    <row r="1" spans="1:9" ht="17.399999999999999" x14ac:dyDescent="0.3">
      <c r="A1" s="3" t="s">
        <v>112</v>
      </c>
    </row>
    <row r="2" spans="1:9" x14ac:dyDescent="0.3">
      <c r="A2" s="4" t="s">
        <v>173</v>
      </c>
    </row>
    <row r="4" spans="1:9" ht="31.5" customHeight="1" x14ac:dyDescent="0.3">
      <c r="A4" s="5" t="s">
        <v>113</v>
      </c>
      <c r="B4" s="5" t="s">
        <v>87</v>
      </c>
      <c r="C4" s="5" t="s">
        <v>114</v>
      </c>
      <c r="D4" s="5" t="s">
        <v>115</v>
      </c>
      <c r="E4" s="5" t="s">
        <v>10</v>
      </c>
      <c r="F4" s="5" t="s">
        <v>116</v>
      </c>
      <c r="G4" s="5" t="s">
        <v>117</v>
      </c>
      <c r="H4" s="5" t="s">
        <v>118</v>
      </c>
      <c r="I4" s="5" t="s">
        <v>119</v>
      </c>
    </row>
    <row r="5" spans="1:9" ht="26.4" x14ac:dyDescent="0.3">
      <c r="A5" s="6">
        <v>1</v>
      </c>
      <c r="B5" s="7" t="s">
        <v>120</v>
      </c>
      <c r="C5" s="7" t="s">
        <v>121</v>
      </c>
      <c r="D5" s="7" t="s">
        <v>122</v>
      </c>
      <c r="E5" s="7" t="s">
        <v>123</v>
      </c>
      <c r="F5" s="7" t="s">
        <v>124</v>
      </c>
      <c r="G5" s="7" t="s">
        <v>125</v>
      </c>
      <c r="H5" s="7" t="s">
        <v>126</v>
      </c>
      <c r="I5" s="7" t="s">
        <v>127</v>
      </c>
    </row>
    <row r="6" spans="1:9" ht="26.4" x14ac:dyDescent="0.3">
      <c r="A6" s="6">
        <v>2</v>
      </c>
      <c r="B6" s="7" t="s">
        <v>128</v>
      </c>
      <c r="C6" s="7" t="s">
        <v>129</v>
      </c>
      <c r="D6" s="7" t="s">
        <v>130</v>
      </c>
      <c r="E6" s="7" t="s">
        <v>175</v>
      </c>
      <c r="F6" s="7" t="s">
        <v>131</v>
      </c>
      <c r="G6" s="7" t="s">
        <v>89</v>
      </c>
      <c r="H6" s="7" t="s">
        <v>132</v>
      </c>
      <c r="I6" s="7" t="s">
        <v>133</v>
      </c>
    </row>
    <row r="7" spans="1:9" x14ac:dyDescent="0.3">
      <c r="A7" s="6">
        <v>3</v>
      </c>
      <c r="B7" s="7" t="s">
        <v>134</v>
      </c>
      <c r="C7" s="7" t="s">
        <v>135</v>
      </c>
      <c r="D7" s="7" t="s">
        <v>136</v>
      </c>
      <c r="E7" s="7" t="s">
        <v>137</v>
      </c>
      <c r="F7" s="7" t="s">
        <v>138</v>
      </c>
      <c r="G7" s="7" t="s">
        <v>89</v>
      </c>
      <c r="H7" s="7" t="s">
        <v>139</v>
      </c>
      <c r="I7" s="7" t="s">
        <v>140</v>
      </c>
    </row>
    <row r="8" spans="1:9" x14ac:dyDescent="0.3">
      <c r="A8" s="6">
        <v>4</v>
      </c>
      <c r="B8" s="7" t="s">
        <v>141</v>
      </c>
      <c r="C8" s="7" t="s">
        <v>142</v>
      </c>
      <c r="D8" s="7" t="s">
        <v>143</v>
      </c>
      <c r="E8" s="7" t="s">
        <v>17</v>
      </c>
      <c r="F8" s="7" t="s">
        <v>144</v>
      </c>
      <c r="G8" s="7" t="s">
        <v>125</v>
      </c>
      <c r="H8" s="7" t="s">
        <v>145</v>
      </c>
      <c r="I8" s="7" t="s">
        <v>146</v>
      </c>
    </row>
    <row r="9" spans="1:9" ht="26.4" x14ac:dyDescent="0.3">
      <c r="A9" s="6">
        <v>5</v>
      </c>
      <c r="B9" s="7" t="s">
        <v>147</v>
      </c>
      <c r="C9" s="7" t="s">
        <v>148</v>
      </c>
      <c r="D9" s="7" t="s">
        <v>149</v>
      </c>
      <c r="E9" s="7" t="s">
        <v>150</v>
      </c>
      <c r="F9" s="7" t="s">
        <v>151</v>
      </c>
      <c r="G9" s="7" t="s">
        <v>152</v>
      </c>
      <c r="H9" s="7" t="s">
        <v>153</v>
      </c>
      <c r="I9" s="7" t="s">
        <v>154</v>
      </c>
    </row>
    <row r="10" spans="1:9" x14ac:dyDescent="0.3">
      <c r="A10" s="6">
        <v>6</v>
      </c>
      <c r="B10" s="7" t="s">
        <v>155</v>
      </c>
      <c r="C10" s="7" t="s">
        <v>156</v>
      </c>
      <c r="D10" s="7" t="s">
        <v>157</v>
      </c>
      <c r="E10" s="7" t="s">
        <v>158</v>
      </c>
      <c r="F10" s="7" t="s">
        <v>138</v>
      </c>
      <c r="G10" s="7" t="s">
        <v>159</v>
      </c>
      <c r="H10" s="7" t="s">
        <v>160</v>
      </c>
      <c r="I10" s="7" t="s">
        <v>154</v>
      </c>
    </row>
    <row r="11" spans="1:9" ht="26.4" x14ac:dyDescent="0.3">
      <c r="A11" s="6">
        <v>7</v>
      </c>
      <c r="B11" s="7" t="s">
        <v>161</v>
      </c>
      <c r="C11" s="7" t="s">
        <v>162</v>
      </c>
      <c r="D11" s="7" t="s">
        <v>163</v>
      </c>
      <c r="E11" s="7" t="s">
        <v>35</v>
      </c>
      <c r="F11" s="7" t="s">
        <v>164</v>
      </c>
      <c r="G11" s="7" t="s">
        <v>89</v>
      </c>
      <c r="H11" s="7" t="s">
        <v>165</v>
      </c>
      <c r="I11" s="7" t="s">
        <v>146</v>
      </c>
    </row>
    <row r="12" spans="1:9" x14ac:dyDescent="0.3">
      <c r="A12" s="6">
        <v>8</v>
      </c>
      <c r="B12" s="7" t="s">
        <v>166</v>
      </c>
      <c r="C12" s="7" t="s">
        <v>167</v>
      </c>
      <c r="D12" s="7" t="s">
        <v>168</v>
      </c>
      <c r="E12" s="7" t="s">
        <v>169</v>
      </c>
      <c r="F12" s="7" t="s">
        <v>170</v>
      </c>
      <c r="G12" s="7" t="s">
        <v>171</v>
      </c>
      <c r="H12" s="7" t="s">
        <v>172</v>
      </c>
      <c r="I12" s="7" t="s">
        <v>170</v>
      </c>
    </row>
  </sheetData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Stakeholder Register</vt:lpstr>
      <vt:lpstr>Matrix</vt:lpstr>
      <vt:lpstr>RACI</vt:lpstr>
      <vt:lpstr>Communication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Lê Văn Mạnh</cp:lastModifiedBy>
  <cp:revision>0</cp:revision>
  <dcterms:created xsi:type="dcterms:W3CDTF">2026-10-23T07:34:21Z</dcterms:created>
  <dcterms:modified xsi:type="dcterms:W3CDTF">2026-10-23T08:33:00Z</dcterms:modified>
  <dc:language>en-US</dc:language>
</cp:coreProperties>
</file>