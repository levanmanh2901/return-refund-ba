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HP\Downloads\return-refund-ba\02-requirements\"/>
    </mc:Choice>
  </mc:AlternateContent>
  <xr:revisionPtr revIDLastSave="0" documentId="13_ncr:1_{4C847DAE-1054-4456-A748-1DF793555470}" xr6:coauthVersionLast="47" xr6:coauthVersionMax="47" xr10:uidLastSave="{00000000-0000-0000-0000-000000000000}"/>
  <bookViews>
    <workbookView xWindow="-108" yWindow="-108" windowWidth="23256" windowHeight="12456" tabRatio="500" xr2:uid="{00000000-000D-0000-FFFF-FFFF00000000}"/>
  </bookViews>
  <sheets>
    <sheet name="Danh sách MOM" sheetId="1" r:id="rId1"/>
    <sheet name="Questionnaire 5W1H" sheetId="2" r:id="rId2"/>
    <sheet name="MOM-01 Kickoff" sheetId="3" r:id="rId3"/>
    <sheet name="MOM-02 PV CSKH" sheetId="4" r:id="rId4"/>
    <sheet name="MOM-03 PV Kho" sheetId="5" r:id="rId5"/>
    <sheet name="MOM-04 PV Kế toán" sheetId="6" r:id="rId6"/>
    <sheet name="MOM-05 PV Khách hàng" sheetId="7" r:id="rId7"/>
    <sheet name="MOM-06 PV Pháp chế" sheetId="8" r:id="rId8"/>
    <sheet name="MOM-07 Workshop BR"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8" i="9" l="1"/>
  <c r="H8" i="8"/>
  <c r="H8" i="7"/>
  <c r="H8" i="6"/>
  <c r="H8" i="5"/>
  <c r="H8" i="4"/>
  <c r="H8" i="3"/>
</calcChain>
</file>

<file path=xl/sharedStrings.xml><?xml version="1.0" encoding="utf-8"?>
<sst xmlns="http://schemas.openxmlformats.org/spreadsheetml/2006/main" count="469" uniqueCount="206">
  <si>
    <t>DANH SÁCH BIÊN BẢN HỌP (MOM)</t>
  </si>
  <si>
    <t>STT</t>
  </si>
  <si>
    <t>Mã</t>
  </si>
  <si>
    <t>Ngày</t>
  </si>
  <si>
    <t>Chủ đề</t>
  </si>
  <si>
    <t>Loại</t>
  </si>
  <si>
    <t>Người tham gia</t>
  </si>
  <si>
    <t>MOM-01</t>
  </si>
  <si>
    <t>05/08/2026</t>
  </si>
  <si>
    <t>Kickoff dự án Trả hàng &amp; Hoàn tiền</t>
  </si>
  <si>
    <t>Kickoff meeting</t>
  </si>
  <si>
    <t>Giám đốc Khối TMĐT (Sponsor), Product Owner, BA, Trưởng phòng CSKH, Quản lý kho, Kế toán trưởng, IT Lead</t>
  </si>
  <si>
    <t>MOM-02</t>
  </si>
  <si>
    <t>06/08/2026</t>
  </si>
  <si>
    <t>Phỏng vấn 1-1</t>
  </si>
  <si>
    <t>2 nhân viên CSKH hotline, BA</t>
  </si>
  <si>
    <t>MOM-03</t>
  </si>
  <si>
    <t>Quản lý kho, 1 nhân viên kho, BA</t>
  </si>
  <si>
    <t>MOM-04</t>
  </si>
  <si>
    <t>07/08/2026</t>
  </si>
  <si>
    <t>Kế toán phụ trách hoàn tiền, BA</t>
  </si>
  <si>
    <t>MOM-05</t>
  </si>
  <si>
    <t>Phỏng vấn khách hàng</t>
  </si>
  <si>
    <t>3 khách hàng đã từng đổi/trả, BA</t>
  </si>
  <si>
    <t>MOM-06</t>
  </si>
  <si>
    <t>08/08/2026</t>
  </si>
  <si>
    <t>Chuyên viên pháp chế, BA</t>
  </si>
  <si>
    <t>MOM-07</t>
  </si>
  <si>
    <t>11/08/2026</t>
  </si>
  <si>
    <t>Workshop thống nhất Business Rules</t>
  </si>
  <si>
    <t>Workshop</t>
  </si>
  <si>
    <t>Product Owner, Trưởng phòng CSKH, Quản lý kho, Kế toán trưởng, Pháp chế, BA</t>
  </si>
  <si>
    <t>BỘ CÂU HỎI KHẢO SÁT (5W1H)</t>
  </si>
  <si>
    <t>Dùng để chuẩn bị các buổi phỏng vấn MOM-02 → MOM-06. Câu trả lời tóm tắt từ kết quả phỏng vấn.</t>
  </si>
  <si>
    <t>No.</t>
  </si>
  <si>
    <t>Nhóm</t>
  </si>
  <si>
    <t>Câu hỏi</t>
  </si>
  <si>
    <t>Đối tượng hỏi</t>
  </si>
  <si>
    <t>Câu trả lời tóm tắt</t>
  </si>
  <si>
    <t>Nguồn</t>
  </si>
  <si>
    <t>WHAT</t>
  </si>
  <si>
    <t>Nghiệp vụ đổi/trả gồm những gì? Đầu vào, đầu ra là gì?</t>
  </si>
  <si>
    <t>CSKH, Kho, Kế toán</t>
  </si>
  <si>
    <t>Đầu vào: yêu cầu của khách + minh chứng + hàng trả. Đầu ra: hàng được đổi hoặc tiền được hoàn, kèm thông báo cho khách.</t>
  </si>
  <si>
    <t>MOM-02, 03, 04</t>
  </si>
  <si>
    <t>WHERE</t>
  </si>
  <si>
    <t>Nghiệp vụ bắt đầu và kết thúc ở đâu? Khách tương tác qua kênh nào?</t>
  </si>
  <si>
    <t>CSKH, Khách hàng</t>
  </si>
  <si>
    <t>Bắt đầu từ hotline hoặc cửa hàng; kết thúc khi Kế toán hoàn tiền hoặc Kho xuất hàng thay thế. Khách mong muốn thao tác trên App.</t>
  </si>
  <si>
    <t>MOM-02, 05</t>
  </si>
  <si>
    <t>WHEN</t>
  </si>
  <si>
    <t>Khi nào phát sinh đổi/trả? Thời hạn áp dụng?</t>
  </si>
  <si>
    <t>Pháp chế, CSKH</t>
  </si>
  <si>
    <t>Trong 7 ngày với hàng lỗi nhà sản xuất, 3 ngày với hàng không lỗi còn nguyên seal; ~3.600 yêu cầu/tháng.</t>
  </si>
  <si>
    <t>MOM-06, 02</t>
  </si>
  <si>
    <t>WHO</t>
  </si>
  <si>
    <t>Ai tham gia, ai cung cấp thông tin, ai nhận kết quả?</t>
  </si>
  <si>
    <t>Tất cả</t>
  </si>
  <si>
    <t>Khách hàng, CSKH (tiếp nhận, duyệt), Kho/Cửa hàng (kiểm tra), Kế toán (hoàn tiền), Pháp chế (chính sách).</t>
  </si>
  <si>
    <t>MOM-02 → 06</t>
  </si>
  <si>
    <t>WHY</t>
  </si>
  <si>
    <t>Vì sao cần số hóa quy trình?</t>
  </si>
  <si>
    <t>Kế toán, Khách hàng</t>
  </si>
  <si>
    <t>Xử lý 5–7 ngày, hoàn tiền 7–10 ngày, khách gọi lại 2–3 lần/yêu cầu, hoàn sai tiền và hoàn trùng.</t>
  </si>
  <si>
    <t>MOM-04, 05</t>
  </si>
  <si>
    <t>HOW</t>
  </si>
  <si>
    <t>Mong muốn cải thiện như thế nào? Có yêu cầu nào từ lãnh đạo?</t>
  </si>
  <si>
    <t>Sponsor, Kế toán</t>
  </si>
  <si>
    <t>Một hệ thống chung cho các bộ phận, khách tự theo dõi trạng thái, hoàn tiền tự động; Sponsor đặt mục tiêu O1–O5.</t>
  </si>
  <si>
    <t>MOM-01, 04</t>
  </si>
  <si>
    <t>Tổng hợp phát hiện từ phỏng vấn</t>
  </si>
  <si>
    <t>Phát hiện</t>
  </si>
  <si>
    <t>Pain point</t>
  </si>
  <si>
    <t>Minh chứng (ảnh) nhận qua nhiều kênh rời rạc</t>
  </si>
  <si>
    <t>CSKH #2, Pháp chế #3</t>
  </si>
  <si>
    <t>PP-01</t>
  </si>
  <si>
    <t>Chuyển giao giữa các bộ phận bằng email</t>
  </si>
  <si>
    <t>CSKH #4, Kho #1, Kế toán #1</t>
  </si>
  <si>
    <t>PP-02</t>
  </si>
  <si>
    <t>Dữ liệu kết quả kiểm tra lưu trên Excel dùng chung</t>
  </si>
  <si>
    <t>Kho #3</t>
  </si>
  <si>
    <t>PP-03</t>
  </si>
  <si>
    <t>Không theo dõi được trạng thái, khách gọi lại 2–3 lần</t>
  </si>
  <si>
    <t>CSKH #4–5, Khách hàng #2</t>
  </si>
  <si>
    <t>PP-04</t>
  </si>
  <si>
    <t>Hoàn tiền thủ công theo đợt, 7–10 ngày</t>
  </si>
  <si>
    <t>Kế toán #2–3, Khách hàng #3</t>
  </si>
  <si>
    <t>PP-05</t>
  </si>
  <si>
    <t>Sai số tiền hoàn (voucher, COD)</t>
  </si>
  <si>
    <t>CSKH #3, Kế toán #4</t>
  </si>
  <si>
    <t>PP-06</t>
  </si>
  <si>
    <t>Tiêu chí kiểm tra hàng áp dụng không đồng nhất</t>
  </si>
  <si>
    <t>Kho #2, #4</t>
  </si>
  <si>
    <t>PP-07</t>
  </si>
  <si>
    <t>MOM</t>
  </si>
  <si>
    <t>Topic</t>
  </si>
  <si>
    <t>Organizer</t>
  </si>
  <si>
    <t>Product Owner</t>
  </si>
  <si>
    <t>Type</t>
  </si>
  <si>
    <t>Location</t>
  </si>
  <si>
    <t>Date</t>
  </si>
  <si>
    <t>Attendees</t>
  </si>
  <si>
    <t>Start Time</t>
  </si>
  <si>
    <t>Absentees</t>
  </si>
  <si>
    <t>Pháp chế (gửi ý kiến qua email)</t>
  </si>
  <si>
    <t>End Time</t>
  </si>
  <si>
    <t>Update By</t>
  </si>
  <si>
    <t>Lê Văn Mạnh (BA)</t>
  </si>
  <si>
    <t>Duration</t>
  </si>
  <si>
    <t>AGENDA</t>
  </si>
  <si>
    <t>Giới thiệu mục tiêu và bối cảnh dự án</t>
  </si>
  <si>
    <t>Thống nhất phạm vi phiên bản 1</t>
  </si>
  <si>
    <t>Giới thiệu đội dự án, vai trò và kế hoạch giao tiếp</t>
  </si>
  <si>
    <t>Kế hoạch khảo sát và mốc thời gian</t>
  </si>
  <si>
    <t>POINTS DISCUSSED</t>
  </si>
  <si>
    <t>No</t>
  </si>
  <si>
    <t>Remarks</t>
  </si>
  <si>
    <t>Sponsor nêu mục tiêu: rút ngắn thời gian duyệt yêu cầu trả hàng xuống ≤ 24h, hoàn tiền ví ≤ 24h, giảm 40% cuộc gọi hotline về trả hàng.</t>
  </si>
  <si>
    <t>Phạm vi v1: trả hàng và hoàn tiền cho đơn online; đổi hàng, báo cáo, đơn trả góp và hàng marketplace để phiên bản sau.</t>
  </si>
  <si>
    <t>Trưởng CSKH đề nghị có thêm chức năng đổi hàng; PO quyết định phiên bản 1 chỉ làm trả hàng và hoàn tiền để kịp go-live, đổi hàng ghi nhận cho phiên bản 2.</t>
  </si>
  <si>
    <t>Go-live trong 3 tháng; đội phát triển 3 Dev, 1 QA, 1 Designer dùng chung với dự án khác.</t>
  </si>
  <si>
    <t>Thống nhất kênh giao tiếp: báo cáo tuần qua email, trao đổi hằng ngày trên Slack/Teams, tài liệu trên Confluence.</t>
  </si>
  <si>
    <t>POINTS AGREED / ACTION ITEMS</t>
  </si>
  <si>
    <t>Responsible</t>
  </si>
  <si>
    <t>Completion Date</t>
  </si>
  <si>
    <t>BA lập lịch và thực hiện phỏng vấn các bộ phận liên quan</t>
  </si>
  <si>
    <t>BA</t>
  </si>
  <si>
    <t>Pháp chế gửi văn bản chính sách đổi/trả hiện hành</t>
  </si>
  <si>
    <t>Pháp chế</t>
  </si>
  <si>
    <t>09/08/2026</t>
  </si>
  <si>
    <t>Trưởng CSKH cung cấp số liệu cuộc gọi hotline về đổi/trả 3 tháng gần nhất</t>
  </si>
  <si>
    <t>Trưởng CSKH</t>
  </si>
  <si>
    <t>10/08/2026</t>
  </si>
  <si>
    <t>BA hoàn thiện BRD gửi Sponsor phê duyệt</t>
  </si>
  <si>
    <t>12/08/2026</t>
  </si>
  <si>
    <t>Prepared by</t>
  </si>
  <si>
    <t>Lê Văn Mạnh</t>
  </si>
  <si>
    <t>Designation</t>
  </si>
  <si>
    <t>Business Analyst</t>
  </si>
  <si>
    <t>Email Address</t>
  </si>
  <si>
    <t>—</t>
  </si>
  <si>
    <t>Tìm hiểu quy trình đổi/trả hiện tại của bộ phận</t>
  </si>
  <si>
    <t>Xác định khó khăn (pain point) và mong muốn</t>
  </si>
  <si>
    <t>Thu thập tài liệu, số liệu liên quan</t>
  </si>
  <si>
    <t>Hỏi: Khi khách gọi yêu cầu đổi/trả, anh/chị xử lý qua những bước nào?
Trả lời: Tra mã đơn trên OMS, tạo ticket trên CRM, hỏi lý do, rồi nhờ khách gửi ảnh sản phẩm qua Zalo OA hoặc email. Sau đó đối chiếu chính sách để quyết định.</t>
  </si>
  <si>
    <t>Hỏi: Trường hợp nào khó xử lý nhất?
Trả lời: Khách mua trong combo có voucher, trả một món thì không biết hoàn bao nhiêu. Và đơn COD, phải xin số tài khoản của khách qua điện thoại, dễ ghi sai.</t>
  </si>
  <si>
    <t>Hỏi: Sau khi chuyển cho kho, anh/chị theo dõi tiến độ thế nào?
Trả lời: Gửi email cho kho rồi chờ phản hồi, không có chỗ nào xem trạng thái. Khách gọi hỏi thì phải email hoặc gọi kho hỏi lại.</t>
  </si>
  <si>
    <t>CSKH gửi 5 ticket đổi/trả điển hình để BA phân tích</t>
  </si>
  <si>
    <t>Nhân viên CSKH</t>
  </si>
  <si>
    <t>BA tổng hợp các trường hợp khó (voucher, COD) đưa vào workshop Business Rules</t>
  </si>
  <si>
    <t>Kho Thủ Đức</t>
  </si>
  <si>
    <t>Hỏi: Kho nhận thông tin hàng trả qua kênh nào?
Trả lời: Qua email từ CSKH. Nhiều hôm hàng về trước email, không biết hàng của đơn nào.</t>
  </si>
  <si>
    <t>Hỏi: Kiểm tra hàng theo tiêu chí gì?
Trả lời: Kiểm tra seal, IMEI/seri có khớp đơn, ngoại quan, phụ kiện đi kèm. Tiêu chí có trong chính sách nhưng mỗi nhân viên áp dụng hơi khác nhau.</t>
  </si>
  <si>
    <t>Hỏi: Kết quả kiểm tra được ghi lại ở đâu?
Trả lời: Ghi vào file Excel dùng chung rồi email cho CSKH và kế toán. File hay bị ghi đè hoặc lệch phiên bản.</t>
  </si>
  <si>
    <t>Hỏi: Hàng không đạt thì xử lý thế nào?
Trả lời: Gửi trả lại khách, nhưng phí ship do ai chịu thì chưa rõ, mỗi lần phải hỏi quản lý.</t>
  </si>
  <si>
    <t>Hỏi: Có hay xảy ra thất lạc không?
Trả lời: Mỗi tháng vài chục trường hợp không khớp giữa hàng thực nhận và thông tin trên email.</t>
  </si>
  <si>
    <t>Kho gửi tiêu chí kiểm tra hàng trả hiện tại</t>
  </si>
  <si>
    <t>Quản lý kho</t>
  </si>
  <si>
    <t>BA đề xuất checklist kiểm tra chuẩn hóa</t>
  </si>
  <si>
    <t>Hỏi: Căn cứ vào đâu để hoàn tiền?
Trả lời: Email xác nhận của kho kèm thông tin đơn. Phải tự đối chiếu lại với OMS và sao kê.</t>
  </si>
  <si>
    <t>Hỏi: Mỗi phương thức thanh toán hoàn tiền khác nhau thế nào?
Trả lời: Thẻ và ví hoàn qua cổng thanh toán, nhưng thao tác tay trên portal của từng đối tác. COD và chuyển khoản thì chuyển khoản thủ công theo số tài khoản CSKH ghi lại.</t>
  </si>
  <si>
    <t>Hỏi: Sai sót nào hay gặp nhất?
Trả lời: Sai số tiền khi đơn có voucher, và sai số tài khoản với đơn COD. Có trường hợp hoàn trùng hai lần.</t>
  </si>
  <si>
    <t>Hỏi: Anh/chị mong muốn điều gì?
Trả lời: Có một nơi duy nhất ghi rõ số tiền cần hoàn, đã được duyệt, và đối soát được tự động.</t>
  </si>
  <si>
    <t>Kế toán và IT cung cấp tài liệu API hoàn tiền của các đối tác thanh toán</t>
  </si>
  <si>
    <t>Kế toán / IT</t>
  </si>
  <si>
    <t>14/08/2026</t>
  </si>
  <si>
    <t>BA đề xuất công thức phân bổ voucher khi trả một phần đơn</t>
  </si>
  <si>
    <t>Hỏi: Lần gần nhất đổi/trả, anh/chị làm thế nào?
Trả lời: Gọi hotline, chờ máy khá lâu, sau đó phải chụp ảnh gửi qua Zalo.</t>
  </si>
  <si>
    <t>Hỏi: Điều gì khiến anh/chị khó chịu nhất?
Trả lời: Không biết yêu cầu của mình đang ở đâu. Gọi lại thì mỗi lần một nhân viên khác, phải kể lại từ đầu.</t>
  </si>
  <si>
    <t>Hỏi: Thời gian nhận lại tiền có chấp nhận được không?
Trả lời: Gần 2 tuần mới có tiền, quá lâu so với lúc thanh toán chỉ mất vài giây.</t>
  </si>
  <si>
    <t>Hỏi: Anh/chị mong muốn điều gì?
Trả lời: Tạo yêu cầu ngay trên app, xem được trạng thái, hoàn tiền về ví cho nhanh.</t>
  </si>
  <si>
    <t>BA đưa yêu cầu theo dõi trạng thái và hoàn tiền về ví vào danh sách yêu cầu</t>
  </si>
  <si>
    <t>Hỏi: Chính sách đổi trả hiện tại dựa trên quy định nào?
Trả lời: Dựa trên Luật Bảo vệ quyền lợi người tiêu dùng và chính sách nội bộ đã công bố trên website.</t>
  </si>
  <si>
    <t>Hỏi: Điểm nào bắt buộc phải giữ?
Trả lời: Phải công khai điều kiện đổi trả trước khi khách mua, và phải thông báo rõ lý do khi từ chối.</t>
  </si>
  <si>
    <t>Hỏi: Lưu ý gì về dữ liệu khách hàng?
Trả lời: Ảnh, video và số tài khoản khách gửi là dữ liệu cá nhân, không nên trao đổi qua Zalo cá nhân hay email không kiểm soát.</t>
  </si>
  <si>
    <t>Pháp chế rà soát danh sách sản phẩm không áp dụng đổi/trả</t>
  </si>
  <si>
    <t>BA bổ sung yêu cầu bảo mật dữ liệu cá nhân (ảnh, số tài khoản)</t>
  </si>
  <si>
    <t>Thống nhất điều kiện và thời hạn trả hàng</t>
  </si>
  <si>
    <t>Thống nhất phí vận chuyển và cách tính tiền hoàn</t>
  </si>
  <si>
    <t>Thống nhất ngưỡng duyệt hoàn tiền và quy tắc chống gian lận</t>
  </si>
  <si>
    <t>Thống nhất SLA xử lý giữa các bộ phận</t>
  </si>
  <si>
    <t>Thời hạn: hàng lỗi nhà sản xuất 7 ngày; hàng không lỗi (đổi ý) 3 ngày, còn nguyên seal.</t>
  </si>
  <si>
    <t>Phí vận chuyển: công ty chịu khi lỗi thuộc về công ty; khách chịu 30.000đ khi đổi ý và chọn shipper lấy hàng.</t>
  </si>
  <si>
    <t>Tiền hoàn = giá thực trả − voucher phân bổ theo tỷ lệ giá trị − phí (nếu có). Kế toán yêu cầu ví dụ minh họa trong SRS.</t>
  </si>
  <si>
    <t>Kế toán muốn duyệt mọi khoản hoàn tiền; PO lo ngại làm chậm SLA. Thống nhất: hoàn tiền tự động, Kế toán chỉ xử lý thủ công giao dịch lỗi.</t>
  </si>
  <si>
    <t>Chống gian lận ở phiên bản 1: bắt buộc minh chứng và đối chiếu IMEI khi nhận hàng; tự động gắn cờ tài khoản để phiên bản sau.</t>
  </si>
  <si>
    <t>SLA: CSKH duyệt trong 24h; Kho cập nhật kết quả kiểm tra trong 24h từ khi nhận hàng.</t>
  </si>
  <si>
    <t>BA cập nhật 13 Business Rules vào SRS và gửi các bên xác nhận</t>
  </si>
  <si>
    <t>Kế toán xác nhận quy tắc làm tròn khi phân bổ voucher (OQ-02)</t>
  </si>
  <si>
    <t>Kế toán trưởng</t>
  </si>
  <si>
    <t>24/08/2026</t>
  </si>
  <si>
    <t>Pháp chế xác nhận cách tính thời hạn 7 ngày (OQ-01)</t>
  </si>
  <si>
    <t>Dự án: Tính năng Trả hàng &amp; Hoàn tiền - Công ty Điện Máy Cam  |  Mã: RR-MOM-001  |  Phiên bản 1.0  |  Người lập: Lê Văn Mạnh (BA)</t>
  </si>
  <si>
    <t>Phỏng vấn quy trình đổi/trả - CSKH</t>
  </si>
  <si>
    <t>Phỏng vấn quy trình tiếp nhận hàng trả - Kho</t>
  </si>
  <si>
    <t>Phỏng vấn quy trình hoàn tiền - Kế toán</t>
  </si>
  <si>
    <t>Phỏng vấn trải nghiệm đổi/trả - Khách hàng</t>
  </si>
  <si>
    <t>Phỏng vấn yêu cầu tuân thủ - Pháp chế</t>
  </si>
  <si>
    <t>Minutes of the Meeting - Biên bản họp</t>
  </si>
  <si>
    <t>Phòng họp tầng 5 - Văn phòng Điện Máy Cam</t>
  </si>
  <si>
    <t>manhle.product@gmail.com</t>
  </si>
  <si>
    <t>Online - Google Meet</t>
  </si>
  <si>
    <t>Hỏi: Trung bình mất bao lâu cho một yêu cầu?
Trả lời: Cuộc gọi đầu khoảng 10-15 phút. Nhưng chờ khách gửi ảnh thường mất 1-2 ngày, vì ảnh nằm rải rác trên Zalo, email, phải tự ghép vào ticket.</t>
  </si>
  <si>
    <t>Hỏi: Khách thường gọi lại để hỏi gì?
Trả lời: Chủ yếu hỏi "hàng tới chưa, bao giờ có tiền". Một yêu cầu khách gọi lại trung bình 2-3 lần.</t>
  </si>
  <si>
    <t>Hỏi: Mất bao lâu để hoàn tiền?
Trả lời: Gom xử lý theo đợt 2 lần/tuần, nên khách nhận tiền sau 7-10 ngày.</t>
  </si>
  <si>
    <t>Online - 3 cuộc gọi 20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</si>
</sst>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hh:mm"/>
    <numFmt numFmtId="166" formatCode="[h]:mm"/>
  </numFmts>
  <fonts count="12" x14ac:knownFonts="1">
    <font>
      <sz val="11"/>
      <color theme="1"/>
      <name val="Calibri"/>
      <family val="2"/>
      <charset val="1"/>
    </font>
    <font>
      <sz val="10"/>
      <name val="Arial"/>
      <family val="2"/>
    </font>
    <font>
      <b/>
      <sz val="15"/>
      <color rgb="FFC55A11"/>
      <name val="Arial"/>
      <family val="2"/>
    </font>
    <font>
      <i/>
      <sz val="9"/>
      <color rgb="FF595959"/>
      <name val="Arial"/>
      <family val="2"/>
    </font>
    <font>
      <b/>
      <sz val="10"/>
      <name val="Arial"/>
      <family val="2"/>
    </font>
    <font>
      <sz val="10"/>
      <name val="Arial"/>
      <family val="2"/>
    </font>
    <font>
      <u/>
      <sz val="10"/>
      <color rgb="FF0563C1"/>
      <name val="Arial"/>
      <family val="2"/>
    </font>
    <font>
      <b/>
      <sz val="10"/>
      <color rgb="FFC55A11"/>
      <name val="Arial"/>
      <family val="2"/>
    </font>
    <font>
      <b/>
      <sz val="22"/>
      <color rgb="FFC55A11"/>
      <name val="Arial"/>
      <family val="2"/>
    </font>
    <font>
      <b/>
      <sz val="14"/>
      <color rgb="FF595959"/>
      <name val="Arial"/>
      <family val="2"/>
    </font>
    <font>
      <b/>
      <sz val="11"/>
      <color rgb="FFFFFFFF"/>
      <name val="Arial"/>
      <family val="2"/>
    </font>
    <font>
      <u/>
      <sz val="11"/>
      <color theme="10"/>
      <name val="Calibri"/>
      <family val="2"/>
      <charset val="1"/>
    </font>
  </fonts>
  <fills count="4">
    <fill>
      <patternFill patternType="none"/>
    </fill>
    <fill>
      <patternFill patternType="gray125"/>
    </fill>
    <fill>
      <patternFill patternType="solid">
        <fgColor rgb="FFFBE5D6"/>
        <bgColor rgb="FFFFFFFF"/>
      </patternFill>
    </fill>
    <fill>
      <patternFill patternType="solid">
        <fgColor rgb="FFC55A11"/>
        <bgColor rgb="FF9933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1" fillId="0" borderId="0" applyNumberFormat="0" applyFill="0" applyBorder="0" applyAlignment="0" applyProtection="0"/>
  </cellStyleXfs>
  <cellXfs count="20">
    <xf numFmtId="0" fontId="0" fillId="0" borderId="0" xfId="0"/>
    <xf numFmtId="0" fontId="4" fillId="0" borderId="1" xfId="0" applyFont="1" applyBorder="1" applyAlignment="1">
      <alignment vertical="top" wrapText="1"/>
    </xf>
    <xf numFmtId="0" fontId="10" fillId="3" borderId="1" xfId="0" applyFont="1" applyFill="1" applyBorder="1" applyAlignment="1">
      <alignment vertical="center" wrapText="1"/>
    </xf>
    <xf numFmtId="166" fontId="5" fillId="0" borderId="1" xfId="0" applyNumberFormat="1" applyFont="1" applyBorder="1" applyAlignment="1">
      <alignment horizontal="left"/>
    </xf>
    <xf numFmtId="165" fontId="5" fillId="0" borderId="1" xfId="0" applyNumberFormat="1" applyFont="1" applyBorder="1" applyAlignment="1">
      <alignment horizontal="left"/>
    </xf>
    <xf numFmtId="164" fontId="5" fillId="0" borderId="1" xfId="0" applyNumberFormat="1" applyFont="1" applyBorder="1" applyAlignment="1">
      <alignment horizontal="left"/>
    </xf>
    <xf numFmtId="0" fontId="9" fillId="0" borderId="0" xfId="0" applyFont="1" applyAlignment="1">
      <alignment vertical="center" wrapText="1"/>
    </xf>
    <xf numFmtId="0" fontId="8" fillId="0" borderId="0" xfId="0" applyFont="1" applyAlignment="1">
      <alignment vertical="center" wrapText="1"/>
    </xf>
    <xf numFmtId="0" fontId="5" fillId="0" borderId="1" xfId="0" applyFont="1" applyBorder="1" applyAlignment="1">
      <alignment vertical="top" wrapText="1"/>
    </xf>
    <xf numFmtId="0" fontId="4" fillId="2" borderId="1" xfId="0" applyFont="1" applyFill="1" applyBorder="1" applyAlignment="1">
      <alignment horizontal="center" vertical="center" wrapText="1"/>
    </xf>
    <xf numFmtId="0" fontId="7"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4" fillId="2" borderId="1" xfId="0" applyFont="1" applyFill="1" applyBorder="1" applyAlignment="1">
      <alignment vertical="top" wrapText="1"/>
    </xf>
    <xf numFmtId="0" fontId="1" fillId="0" borderId="1" xfId="0" applyFont="1" applyBorder="1" applyAlignment="1">
      <alignment vertical="top" wrapText="1"/>
    </xf>
    <xf numFmtId="0" fontId="11" fillId="0" borderId="1"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ReturnRefund_MOM_v1.0.xlsx" TargetMode="External"/><Relationship Id="rId7" Type="http://schemas.openxmlformats.org/officeDocument/2006/relationships/hyperlink" Target="ReturnRefund_MOM_v1.0.xlsx" TargetMode="External"/><Relationship Id="rId2" Type="http://schemas.openxmlformats.org/officeDocument/2006/relationships/hyperlink" Target="ReturnRefund_MOM_v1.0.xlsx" TargetMode="External"/><Relationship Id="rId1" Type="http://schemas.openxmlformats.org/officeDocument/2006/relationships/hyperlink" Target="ReturnRefund_MOM_v1.0.xlsx" TargetMode="External"/><Relationship Id="rId6" Type="http://schemas.openxmlformats.org/officeDocument/2006/relationships/hyperlink" Target="ReturnRefund_MOM_v1.0.xlsx" TargetMode="External"/><Relationship Id="rId5" Type="http://schemas.openxmlformats.org/officeDocument/2006/relationships/hyperlink" Target="ReturnRefund_MOM_v1.0.xlsx" TargetMode="External"/><Relationship Id="rId4" Type="http://schemas.openxmlformats.org/officeDocument/2006/relationships/hyperlink" Target="ReturnRefund_MOM_v1.0.xls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manhle.produc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11"/>
  <sheetViews>
    <sheetView showGridLines="0" tabSelected="1" zoomScaleNormal="100" workbookViewId="0"/>
  </sheetViews>
  <sheetFormatPr defaultColWidth="8.6640625" defaultRowHeight="14.4" x14ac:dyDescent="0.3"/>
  <cols>
    <col min="1" max="1" width="2" customWidth="1"/>
    <col min="2" max="2" width="6" customWidth="1"/>
    <col min="3" max="3" width="10" customWidth="1"/>
    <col min="4" max="4" width="12" customWidth="1"/>
    <col min="5" max="5" width="40" customWidth="1"/>
    <col min="6" max="6" width="18" customWidth="1"/>
    <col min="7" max="7" width="52" customWidth="1"/>
  </cols>
  <sheetData>
    <row r="1" spans="2:7" ht="25.5" customHeight="1" x14ac:dyDescent="0.3">
      <c r="B1" s="12" t="s">
        <v>0</v>
      </c>
      <c r="C1" s="12"/>
      <c r="D1" s="12"/>
      <c r="E1" s="12"/>
      <c r="F1" s="12"/>
      <c r="G1" s="12"/>
    </row>
    <row r="2" spans="2:7" ht="15" customHeight="1" x14ac:dyDescent="0.3">
      <c r="B2" s="11" t="s">
        <v>192</v>
      </c>
      <c r="C2" s="11"/>
      <c r="D2" s="11"/>
      <c r="E2" s="11"/>
      <c r="F2" s="11"/>
      <c r="G2" s="11"/>
    </row>
    <row r="4" spans="2:7" ht="17.25" customHeight="1" x14ac:dyDescent="0.3">
      <c r="B4" s="13" t="s">
        <v>1</v>
      </c>
      <c r="C4" s="13" t="s">
        <v>2</v>
      </c>
      <c r="D4" s="13" t="s">
        <v>3</v>
      </c>
      <c r="E4" s="13" t="s">
        <v>4</v>
      </c>
      <c r="F4" s="13" t="s">
        <v>5</v>
      </c>
      <c r="G4" s="13" t="s">
        <v>6</v>
      </c>
    </row>
    <row r="5" spans="2:7" ht="30.75" customHeight="1" x14ac:dyDescent="0.3">
      <c r="B5" s="14">
        <v>1</v>
      </c>
      <c r="C5" s="14" t="s">
        <v>7</v>
      </c>
      <c r="D5" s="14" t="s">
        <v>8</v>
      </c>
      <c r="E5" s="15" t="s">
        <v>9</v>
      </c>
      <c r="F5" s="16" t="s">
        <v>10</v>
      </c>
      <c r="G5" s="16" t="s">
        <v>11</v>
      </c>
    </row>
    <row r="6" spans="2:7" ht="17.25" customHeight="1" x14ac:dyDescent="0.3">
      <c r="B6" s="14">
        <v>2</v>
      </c>
      <c r="C6" s="14" t="s">
        <v>12</v>
      </c>
      <c r="D6" s="14" t="s">
        <v>13</v>
      </c>
      <c r="E6" s="15" t="s">
        <v>193</v>
      </c>
      <c r="F6" s="16" t="s">
        <v>14</v>
      </c>
      <c r="G6" s="16" t="s">
        <v>15</v>
      </c>
    </row>
    <row r="7" spans="2:7" ht="17.25" customHeight="1" x14ac:dyDescent="0.3">
      <c r="B7" s="14">
        <v>3</v>
      </c>
      <c r="C7" s="14" t="s">
        <v>16</v>
      </c>
      <c r="D7" s="14" t="s">
        <v>13</v>
      </c>
      <c r="E7" s="15" t="s">
        <v>194</v>
      </c>
      <c r="F7" s="16" t="s">
        <v>14</v>
      </c>
      <c r="G7" s="16" t="s">
        <v>17</v>
      </c>
    </row>
    <row r="8" spans="2:7" ht="17.25" customHeight="1" x14ac:dyDescent="0.3">
      <c r="B8" s="14">
        <v>4</v>
      </c>
      <c r="C8" s="14" t="s">
        <v>18</v>
      </c>
      <c r="D8" s="14" t="s">
        <v>19</v>
      </c>
      <c r="E8" s="15" t="s">
        <v>195</v>
      </c>
      <c r="F8" s="16" t="s">
        <v>14</v>
      </c>
      <c r="G8" s="16" t="s">
        <v>20</v>
      </c>
    </row>
    <row r="9" spans="2:7" ht="30.75" customHeight="1" x14ac:dyDescent="0.3">
      <c r="B9" s="14">
        <v>5</v>
      </c>
      <c r="C9" s="14" t="s">
        <v>21</v>
      </c>
      <c r="D9" s="14" t="s">
        <v>19</v>
      </c>
      <c r="E9" s="15" t="s">
        <v>196</v>
      </c>
      <c r="F9" s="16" t="s">
        <v>22</v>
      </c>
      <c r="G9" s="16" t="s">
        <v>23</v>
      </c>
    </row>
    <row r="10" spans="2:7" ht="17.25" customHeight="1" x14ac:dyDescent="0.3">
      <c r="B10" s="14">
        <v>6</v>
      </c>
      <c r="C10" s="14" t="s">
        <v>24</v>
      </c>
      <c r="D10" s="14" t="s">
        <v>25</v>
      </c>
      <c r="E10" s="15" t="s">
        <v>197</v>
      </c>
      <c r="F10" s="16" t="s">
        <v>14</v>
      </c>
      <c r="G10" s="16" t="s">
        <v>26</v>
      </c>
    </row>
    <row r="11" spans="2:7" ht="30.75" customHeight="1" x14ac:dyDescent="0.3">
      <c r="B11" s="14">
        <v>7</v>
      </c>
      <c r="C11" s="14" t="s">
        <v>27</v>
      </c>
      <c r="D11" s="14" t="s">
        <v>28</v>
      </c>
      <c r="E11" s="15" t="s">
        <v>29</v>
      </c>
      <c r="F11" s="16" t="s">
        <v>30</v>
      </c>
      <c r="G11" s="16" t="s">
        <v>31</v>
      </c>
    </row>
  </sheetData>
  <mergeCells count="2">
    <mergeCell ref="B1:G1"/>
    <mergeCell ref="B2:G2"/>
  </mergeCells>
  <hyperlinks>
    <hyperlink ref="E5" r:id="rId1" location="'MOM-01%20Kickoff'!A1" xr:uid="{00000000-0004-0000-0000-000000000000}"/>
    <hyperlink ref="E6" r:id="rId2" location="'MOM-02%20PV%20CSKH'!A1" display="Phỏng vấn quy trình đổi/trả – CSKH" xr:uid="{00000000-0004-0000-0000-000001000000}"/>
    <hyperlink ref="E7" r:id="rId3" location="'MOM-03%20PV%20Kho'!A1" display="Phỏng vấn quy trình tiếp nhận hàng trả – Kho" xr:uid="{00000000-0004-0000-0000-000002000000}"/>
    <hyperlink ref="E8" r:id="rId4" location="'MOM-04%20PV%20Kế%20toán'!A1" display="Phỏng vấn quy trình hoàn tiền – Kế toán" xr:uid="{00000000-0004-0000-0000-000003000000}"/>
    <hyperlink ref="E9" r:id="rId5" location="'MOM-05%20PV%20Khách%20hàng'!A1" display="Phỏng vấn trải nghiệm đổi/trả – Khách hàng" xr:uid="{00000000-0004-0000-0000-000004000000}"/>
    <hyperlink ref="E10" r:id="rId6" location="'MOM-06%20PV%20Pháp%20chế'!A1" display="Phỏng vấn yêu cầu tuân thủ – Pháp chế" xr:uid="{00000000-0004-0000-0000-000005000000}"/>
    <hyperlink ref="E11" r:id="rId7" location="'MOM-07%20Workshop%20BR'!A1" xr:uid="{00000000-0004-0000-0000-000006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G20"/>
  <sheetViews>
    <sheetView showGridLines="0" zoomScaleNormal="100" workbookViewId="0">
      <selection activeCell="J7" sqref="J7"/>
    </sheetView>
  </sheetViews>
  <sheetFormatPr defaultColWidth="8.6640625" defaultRowHeight="14.4" x14ac:dyDescent="0.3"/>
  <cols>
    <col min="1" max="1" width="2" customWidth="1"/>
    <col min="2" max="2" width="6" customWidth="1"/>
    <col min="3" max="3" width="10" customWidth="1"/>
    <col min="4" max="4" width="46" customWidth="1"/>
    <col min="5" max="5" width="22" customWidth="1"/>
    <col min="6" max="6" width="52" customWidth="1"/>
    <col min="7" max="7" width="12" customWidth="1"/>
  </cols>
  <sheetData>
    <row r="1" spans="2:7" ht="25.5" customHeight="1" x14ac:dyDescent="0.3">
      <c r="B1" s="12" t="s">
        <v>32</v>
      </c>
      <c r="C1" s="12"/>
      <c r="D1" s="12"/>
      <c r="E1" s="12"/>
      <c r="F1" s="12"/>
      <c r="G1" s="12"/>
    </row>
    <row r="2" spans="2:7" ht="15" customHeight="1" x14ac:dyDescent="0.3">
      <c r="B2" s="11" t="s">
        <v>33</v>
      </c>
      <c r="C2" s="11"/>
      <c r="D2" s="11"/>
      <c r="E2" s="11"/>
      <c r="F2" s="11"/>
      <c r="G2" s="11"/>
    </row>
    <row r="4" spans="2:7" ht="17.25" customHeight="1" x14ac:dyDescent="0.3">
      <c r="B4" s="13" t="s">
        <v>34</v>
      </c>
      <c r="C4" s="13" t="s">
        <v>35</v>
      </c>
      <c r="D4" s="13" t="s">
        <v>36</v>
      </c>
      <c r="E4" s="13" t="s">
        <v>37</v>
      </c>
      <c r="F4" s="13" t="s">
        <v>38</v>
      </c>
      <c r="G4" s="13" t="s">
        <v>39</v>
      </c>
    </row>
    <row r="5" spans="2:7" ht="44.25" customHeight="1" x14ac:dyDescent="0.3">
      <c r="B5" s="14">
        <v>1</v>
      </c>
      <c r="C5" s="14" t="s">
        <v>40</v>
      </c>
      <c r="D5" s="16" t="s">
        <v>41</v>
      </c>
      <c r="E5" s="16" t="s">
        <v>42</v>
      </c>
      <c r="F5" s="16" t="s">
        <v>43</v>
      </c>
      <c r="G5" s="14" t="s">
        <v>44</v>
      </c>
    </row>
    <row r="6" spans="2:7" ht="44.25" customHeight="1" x14ac:dyDescent="0.3">
      <c r="B6" s="14">
        <v>2</v>
      </c>
      <c r="C6" s="14" t="s">
        <v>45</v>
      </c>
      <c r="D6" s="16" t="s">
        <v>46</v>
      </c>
      <c r="E6" s="16" t="s">
        <v>47</v>
      </c>
      <c r="F6" s="16" t="s">
        <v>48</v>
      </c>
      <c r="G6" s="14" t="s">
        <v>49</v>
      </c>
    </row>
    <row r="7" spans="2:7" ht="30.75" customHeight="1" x14ac:dyDescent="0.3">
      <c r="B7" s="14">
        <v>3</v>
      </c>
      <c r="C7" s="14" t="s">
        <v>50</v>
      </c>
      <c r="D7" s="16" t="s">
        <v>51</v>
      </c>
      <c r="E7" s="16" t="s">
        <v>52</v>
      </c>
      <c r="F7" s="16" t="s">
        <v>53</v>
      </c>
      <c r="G7" s="14" t="s">
        <v>54</v>
      </c>
    </row>
    <row r="8" spans="2:7" ht="30.75" customHeight="1" x14ac:dyDescent="0.3">
      <c r="B8" s="14">
        <v>4</v>
      </c>
      <c r="C8" s="14" t="s">
        <v>55</v>
      </c>
      <c r="D8" s="16" t="s">
        <v>56</v>
      </c>
      <c r="E8" s="16" t="s">
        <v>57</v>
      </c>
      <c r="F8" s="16" t="s">
        <v>58</v>
      </c>
      <c r="G8" s="14" t="s">
        <v>59</v>
      </c>
    </row>
    <row r="9" spans="2:7" ht="30.75" customHeight="1" x14ac:dyDescent="0.3">
      <c r="B9" s="14">
        <v>5</v>
      </c>
      <c r="C9" s="14" t="s">
        <v>60</v>
      </c>
      <c r="D9" s="16" t="s">
        <v>61</v>
      </c>
      <c r="E9" s="16" t="s">
        <v>62</v>
      </c>
      <c r="F9" s="16" t="s">
        <v>63</v>
      </c>
      <c r="G9" s="14" t="s">
        <v>64</v>
      </c>
    </row>
    <row r="10" spans="2:7" ht="30.75" customHeight="1" x14ac:dyDescent="0.3">
      <c r="B10" s="14">
        <v>6</v>
      </c>
      <c r="C10" s="14" t="s">
        <v>65</v>
      </c>
      <c r="D10" s="16" t="s">
        <v>66</v>
      </c>
      <c r="E10" s="16" t="s">
        <v>67</v>
      </c>
      <c r="F10" s="16" t="s">
        <v>68</v>
      </c>
      <c r="G10" s="14" t="s">
        <v>69</v>
      </c>
    </row>
    <row r="12" spans="2:7" ht="15" customHeight="1" x14ac:dyDescent="0.3">
      <c r="B12" s="10" t="s">
        <v>70</v>
      </c>
      <c r="C12" s="10"/>
      <c r="D12" s="10"/>
      <c r="E12" s="10"/>
      <c r="F12" s="10"/>
      <c r="G12" s="10"/>
    </row>
    <row r="13" spans="2:7" ht="17.25" customHeight="1" x14ac:dyDescent="0.3">
      <c r="B13" s="9" t="s">
        <v>71</v>
      </c>
      <c r="C13" s="9"/>
      <c r="D13" s="9" t="s">
        <v>39</v>
      </c>
      <c r="E13" s="9"/>
      <c r="F13" s="9" t="s">
        <v>72</v>
      </c>
      <c r="G13" s="9"/>
    </row>
    <row r="14" spans="2:7" ht="44.25" customHeight="1" x14ac:dyDescent="0.3">
      <c r="B14" s="8" t="s">
        <v>73</v>
      </c>
      <c r="C14" s="8"/>
      <c r="D14" s="8" t="s">
        <v>74</v>
      </c>
      <c r="E14" s="8"/>
      <c r="F14" s="8" t="s">
        <v>75</v>
      </c>
      <c r="G14" s="8"/>
    </row>
    <row r="15" spans="2:7" ht="44.25" customHeight="1" x14ac:dyDescent="0.3">
      <c r="B15" s="8" t="s">
        <v>76</v>
      </c>
      <c r="C15" s="8"/>
      <c r="D15" s="8" t="s">
        <v>77</v>
      </c>
      <c r="E15" s="8"/>
      <c r="F15" s="8" t="s">
        <v>78</v>
      </c>
      <c r="G15" s="8"/>
    </row>
    <row r="16" spans="2:7" ht="44.25" customHeight="1" x14ac:dyDescent="0.3">
      <c r="B16" s="8" t="s">
        <v>79</v>
      </c>
      <c r="C16" s="8"/>
      <c r="D16" s="8" t="s">
        <v>80</v>
      </c>
      <c r="E16" s="8"/>
      <c r="F16" s="8" t="s">
        <v>81</v>
      </c>
      <c r="G16" s="8"/>
    </row>
    <row r="17" spans="2:7" ht="57.75" customHeight="1" x14ac:dyDescent="0.3">
      <c r="B17" s="8" t="s">
        <v>82</v>
      </c>
      <c r="C17" s="8"/>
      <c r="D17" s="8" t="s">
        <v>83</v>
      </c>
      <c r="E17" s="8"/>
      <c r="F17" s="8" t="s">
        <v>84</v>
      </c>
      <c r="G17" s="8"/>
    </row>
    <row r="18" spans="2:7" ht="44.25" customHeight="1" x14ac:dyDescent="0.3">
      <c r="B18" s="8" t="s">
        <v>85</v>
      </c>
      <c r="C18" s="8"/>
      <c r="D18" s="8" t="s">
        <v>86</v>
      </c>
      <c r="E18" s="8"/>
      <c r="F18" s="8" t="s">
        <v>87</v>
      </c>
      <c r="G18" s="8"/>
    </row>
    <row r="19" spans="2:7" ht="30.75" customHeight="1" x14ac:dyDescent="0.3">
      <c r="B19" s="8" t="s">
        <v>88</v>
      </c>
      <c r="C19" s="8"/>
      <c r="D19" s="8" t="s">
        <v>89</v>
      </c>
      <c r="E19" s="8"/>
      <c r="F19" s="8" t="s">
        <v>90</v>
      </c>
      <c r="G19" s="8"/>
    </row>
    <row r="20" spans="2:7" ht="44.25" customHeight="1" x14ac:dyDescent="0.3">
      <c r="B20" s="8" t="s">
        <v>91</v>
      </c>
      <c r="C20" s="8"/>
      <c r="D20" s="8" t="s">
        <v>92</v>
      </c>
      <c r="E20" s="8"/>
      <c r="F20" s="8" t="s">
        <v>93</v>
      </c>
      <c r="G20" s="8"/>
    </row>
  </sheetData>
  <mergeCells count="27">
    <mergeCell ref="B20:C20"/>
    <mergeCell ref="D20:E20"/>
    <mergeCell ref="F20:G20"/>
    <mergeCell ref="B18:C18"/>
    <mergeCell ref="D18:E18"/>
    <mergeCell ref="F18:G18"/>
    <mergeCell ref="B19:C19"/>
    <mergeCell ref="D19:E19"/>
    <mergeCell ref="F19:G19"/>
    <mergeCell ref="B16:C16"/>
    <mergeCell ref="D16:E16"/>
    <mergeCell ref="F16:G16"/>
    <mergeCell ref="B17:C17"/>
    <mergeCell ref="D17:E17"/>
    <mergeCell ref="F17:G17"/>
    <mergeCell ref="B14:C14"/>
    <mergeCell ref="D14:E14"/>
    <mergeCell ref="F14:G14"/>
    <mergeCell ref="B15:C15"/>
    <mergeCell ref="D15:E15"/>
    <mergeCell ref="F15:G15"/>
    <mergeCell ref="B1:G1"/>
    <mergeCell ref="B2:G2"/>
    <mergeCell ref="B12:G12"/>
    <mergeCell ref="B13:C13"/>
    <mergeCell ref="D13:E13"/>
    <mergeCell ref="F13:G13"/>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I33"/>
  <sheetViews>
    <sheetView showGridLines="0" topLeftCell="A22" zoomScaleNormal="100" workbookViewId="0">
      <selection activeCell="D33" sqref="D33:I33"/>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9</v>
      </c>
      <c r="D3" s="8"/>
      <c r="E3" s="8"/>
      <c r="F3" s="8"/>
      <c r="G3" s="17" t="s">
        <v>2</v>
      </c>
      <c r="H3" s="8" t="s">
        <v>7</v>
      </c>
      <c r="I3" s="8"/>
    </row>
    <row r="4" spans="2:9" ht="17.25" customHeight="1" x14ac:dyDescent="0.3">
      <c r="B4" s="17" t="s">
        <v>96</v>
      </c>
      <c r="C4" s="8" t="s">
        <v>97</v>
      </c>
      <c r="D4" s="8"/>
      <c r="E4" s="8"/>
      <c r="F4" s="8"/>
      <c r="G4" s="17" t="s">
        <v>98</v>
      </c>
      <c r="H4" s="8" t="s">
        <v>10</v>
      </c>
      <c r="I4" s="8"/>
    </row>
    <row r="5" spans="2:9" ht="17.25" customHeight="1" x14ac:dyDescent="0.3">
      <c r="B5" s="17" t="s">
        <v>99</v>
      </c>
      <c r="C5" s="8" t="s">
        <v>199</v>
      </c>
      <c r="D5" s="8"/>
      <c r="E5" s="8"/>
      <c r="F5" s="8"/>
      <c r="G5" s="17" t="s">
        <v>100</v>
      </c>
      <c r="H5" s="5">
        <v>46239</v>
      </c>
      <c r="I5" s="5"/>
    </row>
    <row r="6" spans="2:9" ht="30.75" customHeight="1" x14ac:dyDescent="0.3">
      <c r="B6" s="17" t="s">
        <v>101</v>
      </c>
      <c r="C6" s="8" t="s">
        <v>11</v>
      </c>
      <c r="D6" s="8"/>
      <c r="E6" s="8"/>
      <c r="F6" s="8"/>
      <c r="G6" s="17" t="s">
        <v>102</v>
      </c>
      <c r="H6" s="4">
        <v>0.375</v>
      </c>
      <c r="I6" s="4"/>
    </row>
    <row r="7" spans="2:9" ht="17.25" customHeight="1" x14ac:dyDescent="0.3">
      <c r="B7" s="17" t="s">
        <v>103</v>
      </c>
      <c r="C7" s="8" t="s">
        <v>104</v>
      </c>
      <c r="D7" s="8"/>
      <c r="E7" s="8"/>
      <c r="F7" s="8"/>
      <c r="G7" s="17" t="s">
        <v>105</v>
      </c>
      <c r="H7" s="4">
        <v>0.4375</v>
      </c>
      <c r="I7" s="4"/>
    </row>
    <row r="8" spans="2:9" ht="17.25" customHeight="1" x14ac:dyDescent="0.3">
      <c r="B8" s="17" t="s">
        <v>106</v>
      </c>
      <c r="C8" s="8" t="s">
        <v>107</v>
      </c>
      <c r="D8" s="8"/>
      <c r="E8" s="8"/>
      <c r="F8" s="8"/>
      <c r="G8" s="17" t="s">
        <v>108</v>
      </c>
      <c r="H8" s="3">
        <f>H7-H6</f>
        <v>6.25E-2</v>
      </c>
      <c r="I8" s="3"/>
    </row>
    <row r="10" spans="2:9" ht="21.75" customHeight="1" x14ac:dyDescent="0.3">
      <c r="B10" s="2" t="s">
        <v>109</v>
      </c>
      <c r="C10" s="2"/>
      <c r="D10" s="2"/>
      <c r="E10" s="2"/>
      <c r="F10" s="2"/>
      <c r="G10" s="2"/>
      <c r="H10" s="2"/>
      <c r="I10" s="2"/>
    </row>
    <row r="11" spans="2:9" ht="17.25" customHeight="1" x14ac:dyDescent="0.3">
      <c r="B11" s="14">
        <v>1</v>
      </c>
      <c r="C11" s="8" t="s">
        <v>110</v>
      </c>
      <c r="D11" s="8"/>
      <c r="E11" s="8"/>
      <c r="F11" s="8"/>
      <c r="G11" s="8"/>
      <c r="H11" s="8"/>
      <c r="I11" s="8"/>
    </row>
    <row r="12" spans="2:9" ht="17.25" customHeight="1" x14ac:dyDescent="0.3">
      <c r="B12" s="14">
        <v>2</v>
      </c>
      <c r="C12" s="8" t="s">
        <v>111</v>
      </c>
      <c r="D12" s="8"/>
      <c r="E12" s="8"/>
      <c r="F12" s="8"/>
      <c r="G12" s="8"/>
      <c r="H12" s="8"/>
      <c r="I12" s="8"/>
    </row>
    <row r="13" spans="2:9" ht="17.25" customHeight="1" x14ac:dyDescent="0.3">
      <c r="B13" s="14">
        <v>3</v>
      </c>
      <c r="C13" s="8" t="s">
        <v>112</v>
      </c>
      <c r="D13" s="8"/>
      <c r="E13" s="8"/>
      <c r="F13" s="8"/>
      <c r="G13" s="8"/>
      <c r="H13" s="8"/>
      <c r="I13" s="8"/>
    </row>
    <row r="14" spans="2:9" ht="17.25" customHeight="1" x14ac:dyDescent="0.3">
      <c r="B14" s="14">
        <v>4</v>
      </c>
      <c r="C14" s="8" t="s">
        <v>113</v>
      </c>
      <c r="D14" s="8"/>
      <c r="E14" s="8"/>
      <c r="F14" s="8"/>
      <c r="G14" s="8"/>
      <c r="H14" s="8"/>
      <c r="I14" s="8"/>
    </row>
    <row r="16" spans="2:9" ht="21.75" customHeight="1" x14ac:dyDescent="0.3">
      <c r="B16" s="2" t="s">
        <v>114</v>
      </c>
      <c r="C16" s="2"/>
      <c r="D16" s="2"/>
      <c r="E16" s="2"/>
      <c r="F16" s="2"/>
      <c r="G16" s="2"/>
      <c r="H16" s="2"/>
      <c r="I16" s="2"/>
    </row>
    <row r="17" spans="2:9" ht="17.25" customHeight="1" x14ac:dyDescent="0.3">
      <c r="B17" s="13" t="s">
        <v>115</v>
      </c>
      <c r="C17" s="9" t="s">
        <v>116</v>
      </c>
      <c r="D17" s="9"/>
      <c r="E17" s="9"/>
      <c r="F17" s="9"/>
      <c r="G17" s="9"/>
      <c r="H17" s="9"/>
      <c r="I17" s="9"/>
    </row>
    <row r="18" spans="2:9" ht="30.75" customHeight="1" x14ac:dyDescent="0.3">
      <c r="B18" s="14">
        <v>1</v>
      </c>
      <c r="C18" s="8" t="s">
        <v>117</v>
      </c>
      <c r="D18" s="8"/>
      <c r="E18" s="8"/>
      <c r="F18" s="8"/>
      <c r="G18" s="8"/>
      <c r="H18" s="8"/>
      <c r="I18" s="8"/>
    </row>
    <row r="19" spans="2:9" ht="30.75" customHeight="1" x14ac:dyDescent="0.3">
      <c r="B19" s="14">
        <v>2</v>
      </c>
      <c r="C19" s="8" t="s">
        <v>118</v>
      </c>
      <c r="D19" s="8"/>
      <c r="E19" s="8"/>
      <c r="F19" s="8"/>
      <c r="G19" s="8"/>
      <c r="H19" s="8"/>
      <c r="I19" s="8"/>
    </row>
    <row r="20" spans="2:9" ht="30.75" customHeight="1" x14ac:dyDescent="0.3">
      <c r="B20" s="14">
        <v>3</v>
      </c>
      <c r="C20" s="8" t="s">
        <v>119</v>
      </c>
      <c r="D20" s="8"/>
      <c r="E20" s="8"/>
      <c r="F20" s="8"/>
      <c r="G20" s="8"/>
      <c r="H20" s="8"/>
      <c r="I20" s="8"/>
    </row>
    <row r="21" spans="2:9" ht="17.25" customHeight="1" x14ac:dyDescent="0.3">
      <c r="B21" s="14">
        <v>4</v>
      </c>
      <c r="C21" s="8" t="s">
        <v>120</v>
      </c>
      <c r="D21" s="8"/>
      <c r="E21" s="8"/>
      <c r="F21" s="8"/>
      <c r="G21" s="8"/>
      <c r="H21" s="8"/>
      <c r="I21" s="8"/>
    </row>
    <row r="22" spans="2:9" ht="17.25" customHeight="1" x14ac:dyDescent="0.3">
      <c r="B22" s="14">
        <v>5</v>
      </c>
      <c r="C22" s="8" t="s">
        <v>121</v>
      </c>
      <c r="D22" s="8"/>
      <c r="E22" s="8"/>
      <c r="F22" s="8"/>
      <c r="G22" s="8"/>
      <c r="H22" s="8"/>
      <c r="I22" s="8"/>
    </row>
    <row r="24" spans="2:9" ht="21.75" customHeight="1" x14ac:dyDescent="0.3">
      <c r="B24" s="2" t="s">
        <v>122</v>
      </c>
      <c r="C24" s="2"/>
      <c r="D24" s="2"/>
      <c r="E24" s="2"/>
      <c r="F24" s="2"/>
      <c r="G24" s="2"/>
      <c r="H24" s="2"/>
      <c r="I24" s="2"/>
    </row>
    <row r="25" spans="2:9" ht="17.25" customHeight="1" x14ac:dyDescent="0.3">
      <c r="B25" s="13" t="s">
        <v>115</v>
      </c>
      <c r="C25" s="9" t="s">
        <v>116</v>
      </c>
      <c r="D25" s="9"/>
      <c r="E25" s="9"/>
      <c r="F25" s="9"/>
      <c r="G25" s="9" t="s">
        <v>123</v>
      </c>
      <c r="H25" s="9"/>
      <c r="I25" s="13" t="s">
        <v>124</v>
      </c>
    </row>
    <row r="26" spans="2:9" ht="17.25" customHeight="1" x14ac:dyDescent="0.3">
      <c r="B26" s="14">
        <v>1</v>
      </c>
      <c r="C26" s="8" t="s">
        <v>125</v>
      </c>
      <c r="D26" s="8"/>
      <c r="E26" s="8"/>
      <c r="F26" s="8"/>
      <c r="G26" s="8" t="s">
        <v>126</v>
      </c>
      <c r="H26" s="8"/>
      <c r="I26" s="14" t="s">
        <v>25</v>
      </c>
    </row>
    <row r="27" spans="2:9" ht="17.25" customHeight="1" x14ac:dyDescent="0.3">
      <c r="B27" s="14">
        <v>2</v>
      </c>
      <c r="C27" s="8" t="s">
        <v>127</v>
      </c>
      <c r="D27" s="8"/>
      <c r="E27" s="8"/>
      <c r="F27" s="8"/>
      <c r="G27" s="8" t="s">
        <v>128</v>
      </c>
      <c r="H27" s="8"/>
      <c r="I27" s="14" t="s">
        <v>129</v>
      </c>
    </row>
    <row r="28" spans="2:9" ht="30.75" customHeight="1" x14ac:dyDescent="0.3">
      <c r="B28" s="14">
        <v>3</v>
      </c>
      <c r="C28" s="8" t="s">
        <v>130</v>
      </c>
      <c r="D28" s="8"/>
      <c r="E28" s="8"/>
      <c r="F28" s="8"/>
      <c r="G28" s="8" t="s">
        <v>131</v>
      </c>
      <c r="H28" s="8"/>
      <c r="I28" s="14" t="s">
        <v>132</v>
      </c>
    </row>
    <row r="29" spans="2:9" ht="17.25" customHeight="1" x14ac:dyDescent="0.3">
      <c r="B29" s="14">
        <v>4</v>
      </c>
      <c r="C29" s="8" t="s">
        <v>133</v>
      </c>
      <c r="D29" s="8"/>
      <c r="E29" s="8"/>
      <c r="F29" s="8"/>
      <c r="G29" s="8" t="s">
        <v>126</v>
      </c>
      <c r="H29" s="8"/>
      <c r="I29" s="14" t="s">
        <v>134</v>
      </c>
    </row>
    <row r="31" spans="2:9" ht="17.25" customHeight="1" x14ac:dyDescent="0.3">
      <c r="B31" s="1" t="s">
        <v>135</v>
      </c>
      <c r="C31" s="1"/>
      <c r="D31" s="8" t="s">
        <v>136</v>
      </c>
      <c r="E31" s="8"/>
      <c r="F31" s="8"/>
      <c r="G31" s="8"/>
      <c r="H31" s="8"/>
      <c r="I31" s="8"/>
    </row>
    <row r="32" spans="2:9" ht="17.25" customHeight="1" x14ac:dyDescent="0.3">
      <c r="B32" s="1" t="s">
        <v>137</v>
      </c>
      <c r="C32" s="1"/>
      <c r="D32" s="8" t="s">
        <v>138</v>
      </c>
      <c r="E32" s="8"/>
      <c r="F32" s="8"/>
      <c r="G32" s="8"/>
      <c r="H32" s="8"/>
      <c r="I32" s="8"/>
    </row>
    <row r="33" spans="2:9" ht="17.25" customHeight="1" x14ac:dyDescent="0.3">
      <c r="B33" s="1" t="s">
        <v>139</v>
      </c>
      <c r="C33" s="1"/>
      <c r="D33" s="19" t="s">
        <v>200</v>
      </c>
      <c r="E33" s="8"/>
      <c r="F33" s="8"/>
      <c r="G33" s="8"/>
      <c r="H33" s="8"/>
      <c r="I33" s="8"/>
    </row>
  </sheetData>
  <mergeCells count="43">
    <mergeCell ref="B32:C32"/>
    <mergeCell ref="D32:I32"/>
    <mergeCell ref="B33:C33"/>
    <mergeCell ref="D33:I33"/>
    <mergeCell ref="C28:F28"/>
    <mergeCell ref="G28:H28"/>
    <mergeCell ref="C29:F29"/>
    <mergeCell ref="G29:H29"/>
    <mergeCell ref="B31:C31"/>
    <mergeCell ref="D31:I31"/>
    <mergeCell ref="C25:F25"/>
    <mergeCell ref="G25:H25"/>
    <mergeCell ref="C26:F26"/>
    <mergeCell ref="G26:H26"/>
    <mergeCell ref="C27:F27"/>
    <mergeCell ref="G27:H27"/>
    <mergeCell ref="C19:I19"/>
    <mergeCell ref="C20:I20"/>
    <mergeCell ref="C21:I21"/>
    <mergeCell ref="C22:I22"/>
    <mergeCell ref="B24:I24"/>
    <mergeCell ref="C13:I13"/>
    <mergeCell ref="C14:I14"/>
    <mergeCell ref="B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33" r:id="rId1" xr:uid="{7DB76D77-7F67-41FB-86FF-B829592756EC}"/>
  </hyperlinks>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30"/>
  <sheetViews>
    <sheetView showGridLines="0" zoomScaleNormal="100" workbookViewId="0">
      <selection activeCell="F33" sqref="F33"/>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193</v>
      </c>
      <c r="D3" s="8"/>
      <c r="E3" s="8"/>
      <c r="F3" s="8"/>
      <c r="G3" s="17" t="s">
        <v>2</v>
      </c>
      <c r="H3" s="8" t="s">
        <v>12</v>
      </c>
      <c r="I3" s="8"/>
    </row>
    <row r="4" spans="2:9" ht="17.25" customHeight="1" x14ac:dyDescent="0.3">
      <c r="B4" s="17" t="s">
        <v>96</v>
      </c>
      <c r="C4" s="8" t="s">
        <v>126</v>
      </c>
      <c r="D4" s="8"/>
      <c r="E4" s="8"/>
      <c r="F4" s="8"/>
      <c r="G4" s="17" t="s">
        <v>98</v>
      </c>
      <c r="H4" s="8" t="s">
        <v>14</v>
      </c>
      <c r="I4" s="8"/>
    </row>
    <row r="5" spans="2:9" ht="17.25" customHeight="1" x14ac:dyDescent="0.3">
      <c r="B5" s="17" t="s">
        <v>99</v>
      </c>
      <c r="C5" s="8" t="s">
        <v>201</v>
      </c>
      <c r="D5" s="8"/>
      <c r="E5" s="8"/>
      <c r="F5" s="8"/>
      <c r="G5" s="17" t="s">
        <v>100</v>
      </c>
      <c r="H5" s="5">
        <v>46240</v>
      </c>
      <c r="I5" s="5"/>
    </row>
    <row r="6" spans="2:9" ht="17.25" customHeight="1" x14ac:dyDescent="0.3">
      <c r="B6" s="17" t="s">
        <v>101</v>
      </c>
      <c r="C6" s="8" t="s">
        <v>15</v>
      </c>
      <c r="D6" s="8"/>
      <c r="E6" s="8"/>
      <c r="F6" s="8"/>
      <c r="G6" s="17" t="s">
        <v>102</v>
      </c>
      <c r="H6" s="4">
        <v>0.375</v>
      </c>
      <c r="I6" s="4"/>
    </row>
    <row r="7" spans="2:9" ht="17.25" customHeight="1" x14ac:dyDescent="0.3">
      <c r="B7" s="17" t="s">
        <v>103</v>
      </c>
      <c r="C7" s="18" t="s">
        <v>140</v>
      </c>
      <c r="D7" s="8"/>
      <c r="E7" s="8"/>
      <c r="F7" s="8"/>
      <c r="G7" s="17" t="s">
        <v>105</v>
      </c>
      <c r="H7" s="4">
        <v>0.40625</v>
      </c>
      <c r="I7" s="4"/>
    </row>
    <row r="8" spans="2:9" ht="17.25" customHeight="1" x14ac:dyDescent="0.3">
      <c r="B8" s="17" t="s">
        <v>106</v>
      </c>
      <c r="C8" s="8" t="s">
        <v>107</v>
      </c>
      <c r="D8" s="8"/>
      <c r="E8" s="8"/>
      <c r="F8" s="8"/>
      <c r="G8" s="17" t="s">
        <v>108</v>
      </c>
      <c r="H8" s="3">
        <f>H7-H6</f>
        <v>3.125E-2</v>
      </c>
      <c r="I8" s="3"/>
    </row>
    <row r="10" spans="2:9" ht="21.75" customHeight="1" x14ac:dyDescent="0.3">
      <c r="B10" s="2" t="s">
        <v>109</v>
      </c>
      <c r="C10" s="2"/>
      <c r="D10" s="2"/>
      <c r="E10" s="2"/>
      <c r="F10" s="2"/>
      <c r="G10" s="2"/>
      <c r="H10" s="2"/>
      <c r="I10" s="2"/>
    </row>
    <row r="11" spans="2:9" ht="17.25" customHeight="1" x14ac:dyDescent="0.3">
      <c r="B11" s="14">
        <v>1</v>
      </c>
      <c r="C11" s="8" t="s">
        <v>141</v>
      </c>
      <c r="D11" s="8"/>
      <c r="E11" s="8"/>
      <c r="F11" s="8"/>
      <c r="G11" s="8"/>
      <c r="H11" s="8"/>
      <c r="I11" s="8"/>
    </row>
    <row r="12" spans="2:9" ht="17.25" customHeight="1" x14ac:dyDescent="0.3">
      <c r="B12" s="14">
        <v>2</v>
      </c>
      <c r="C12" s="8" t="s">
        <v>142</v>
      </c>
      <c r="D12" s="8"/>
      <c r="E12" s="8"/>
      <c r="F12" s="8"/>
      <c r="G12" s="8"/>
      <c r="H12" s="8"/>
      <c r="I12" s="8"/>
    </row>
    <row r="13" spans="2:9" ht="17.25" customHeight="1" x14ac:dyDescent="0.3">
      <c r="B13" s="14">
        <v>3</v>
      </c>
      <c r="C13" s="8" t="s">
        <v>143</v>
      </c>
      <c r="D13" s="8"/>
      <c r="E13" s="8"/>
      <c r="F13" s="8"/>
      <c r="G13" s="8"/>
      <c r="H13" s="8"/>
      <c r="I13" s="8"/>
    </row>
    <row r="15" spans="2:9" ht="21.75" customHeight="1" x14ac:dyDescent="0.3">
      <c r="B15" s="2" t="s">
        <v>114</v>
      </c>
      <c r="C15" s="2"/>
      <c r="D15" s="2"/>
      <c r="E15" s="2"/>
      <c r="F15" s="2"/>
      <c r="G15" s="2"/>
      <c r="H15" s="2"/>
      <c r="I15" s="2"/>
    </row>
    <row r="16" spans="2:9" ht="17.25" customHeight="1" x14ac:dyDescent="0.3">
      <c r="B16" s="13" t="s">
        <v>115</v>
      </c>
      <c r="C16" s="9" t="s">
        <v>116</v>
      </c>
      <c r="D16" s="9"/>
      <c r="E16" s="9"/>
      <c r="F16" s="9"/>
      <c r="G16" s="9"/>
      <c r="H16" s="9"/>
      <c r="I16" s="9"/>
    </row>
    <row r="17" spans="2:9" ht="44.25" customHeight="1" x14ac:dyDescent="0.3">
      <c r="B17" s="14">
        <v>1</v>
      </c>
      <c r="C17" s="8" t="s">
        <v>144</v>
      </c>
      <c r="D17" s="8"/>
      <c r="E17" s="8"/>
      <c r="F17" s="8"/>
      <c r="G17" s="8"/>
      <c r="H17" s="8"/>
      <c r="I17" s="8"/>
    </row>
    <row r="18" spans="2:9" ht="44.25" customHeight="1" x14ac:dyDescent="0.3">
      <c r="B18" s="14">
        <v>2</v>
      </c>
      <c r="C18" s="8" t="s">
        <v>202</v>
      </c>
      <c r="D18" s="8"/>
      <c r="E18" s="8"/>
      <c r="F18" s="8"/>
      <c r="G18" s="8"/>
      <c r="H18" s="8"/>
      <c r="I18" s="8"/>
    </row>
    <row r="19" spans="2:9" ht="44.25" customHeight="1" x14ac:dyDescent="0.3">
      <c r="B19" s="14">
        <v>3</v>
      </c>
      <c r="C19" s="8" t="s">
        <v>145</v>
      </c>
      <c r="D19" s="8"/>
      <c r="E19" s="8"/>
      <c r="F19" s="8"/>
      <c r="G19" s="8"/>
      <c r="H19" s="8"/>
      <c r="I19" s="8"/>
    </row>
    <row r="20" spans="2:9" ht="44.25" customHeight="1" x14ac:dyDescent="0.3">
      <c r="B20" s="14">
        <v>4</v>
      </c>
      <c r="C20" s="8" t="s">
        <v>146</v>
      </c>
      <c r="D20" s="8"/>
      <c r="E20" s="8"/>
      <c r="F20" s="8"/>
      <c r="G20" s="8"/>
      <c r="H20" s="8"/>
      <c r="I20" s="8"/>
    </row>
    <row r="21" spans="2:9" ht="30.75" customHeight="1" x14ac:dyDescent="0.3">
      <c r="B21" s="14">
        <v>5</v>
      </c>
      <c r="C21" s="18" t="s">
        <v>203</v>
      </c>
      <c r="D21" s="8"/>
      <c r="E21" s="8"/>
      <c r="F21" s="8"/>
      <c r="G21" s="8"/>
      <c r="H21" s="8"/>
      <c r="I21" s="8"/>
    </row>
    <row r="23" spans="2:9" ht="21.75" customHeight="1" x14ac:dyDescent="0.3">
      <c r="B23" s="2" t="s">
        <v>122</v>
      </c>
      <c r="C23" s="2"/>
      <c r="D23" s="2"/>
      <c r="E23" s="2"/>
      <c r="F23" s="2"/>
      <c r="G23" s="2"/>
      <c r="H23" s="2"/>
      <c r="I23" s="2"/>
    </row>
    <row r="24" spans="2:9" ht="17.25" customHeight="1" x14ac:dyDescent="0.3">
      <c r="B24" s="13" t="s">
        <v>115</v>
      </c>
      <c r="C24" s="9" t="s">
        <v>116</v>
      </c>
      <c r="D24" s="9"/>
      <c r="E24" s="9"/>
      <c r="F24" s="9"/>
      <c r="G24" s="9" t="s">
        <v>123</v>
      </c>
      <c r="H24" s="9"/>
      <c r="I24" s="13" t="s">
        <v>124</v>
      </c>
    </row>
    <row r="25" spans="2:9" ht="17.25" customHeight="1" x14ac:dyDescent="0.3">
      <c r="B25" s="14">
        <v>1</v>
      </c>
      <c r="C25" s="8" t="s">
        <v>147</v>
      </c>
      <c r="D25" s="8"/>
      <c r="E25" s="8"/>
      <c r="F25" s="8"/>
      <c r="G25" s="8" t="s">
        <v>148</v>
      </c>
      <c r="H25" s="8"/>
      <c r="I25" s="14" t="s">
        <v>19</v>
      </c>
    </row>
    <row r="26" spans="2:9" ht="30.75" customHeight="1" x14ac:dyDescent="0.3">
      <c r="B26" s="14">
        <v>2</v>
      </c>
      <c r="C26" s="8" t="s">
        <v>149</v>
      </c>
      <c r="D26" s="8"/>
      <c r="E26" s="8"/>
      <c r="F26" s="8"/>
      <c r="G26" s="8" t="s">
        <v>126</v>
      </c>
      <c r="H26" s="8"/>
      <c r="I26" s="14" t="s">
        <v>28</v>
      </c>
    </row>
    <row r="28" spans="2:9" ht="17.25" customHeight="1" x14ac:dyDescent="0.3">
      <c r="B28" s="1" t="s">
        <v>135</v>
      </c>
      <c r="C28" s="1"/>
      <c r="D28" s="8" t="s">
        <v>136</v>
      </c>
      <c r="E28" s="8"/>
      <c r="F28" s="8"/>
      <c r="G28" s="8"/>
      <c r="H28" s="8"/>
      <c r="I28" s="8"/>
    </row>
    <row r="29" spans="2:9" ht="17.25" customHeight="1" x14ac:dyDescent="0.3">
      <c r="B29" s="1" t="s">
        <v>137</v>
      </c>
      <c r="C29" s="1"/>
      <c r="D29" s="8" t="s">
        <v>138</v>
      </c>
      <c r="E29" s="8"/>
      <c r="F29" s="8"/>
      <c r="G29" s="8"/>
      <c r="H29" s="8"/>
      <c r="I29" s="8"/>
    </row>
    <row r="30" spans="2:9" ht="17.25" customHeight="1" x14ac:dyDescent="0.3">
      <c r="B30" s="1" t="s">
        <v>139</v>
      </c>
      <c r="C30" s="1"/>
      <c r="D30" s="19" t="s">
        <v>200</v>
      </c>
      <c r="E30" s="8"/>
      <c r="F30" s="8"/>
      <c r="G30" s="8"/>
      <c r="H30" s="8"/>
      <c r="I30" s="8"/>
    </row>
  </sheetData>
  <mergeCells count="38">
    <mergeCell ref="B29:C29"/>
    <mergeCell ref="D29:I29"/>
    <mergeCell ref="B30:C30"/>
    <mergeCell ref="D30:I30"/>
    <mergeCell ref="C25:F25"/>
    <mergeCell ref="G25:H25"/>
    <mergeCell ref="C26:F26"/>
    <mergeCell ref="G26:H26"/>
    <mergeCell ref="B28:C28"/>
    <mergeCell ref="D28:I28"/>
    <mergeCell ref="C19:I19"/>
    <mergeCell ref="C20:I20"/>
    <mergeCell ref="C21:I21"/>
    <mergeCell ref="B23:I23"/>
    <mergeCell ref="C24:F24"/>
    <mergeCell ref="G24:H24"/>
    <mergeCell ref="C13:I13"/>
    <mergeCell ref="B15:I15"/>
    <mergeCell ref="C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30" r:id="rId1" xr:uid="{96263CFA-1688-4C3F-BEDA-913912E03EC7}"/>
  </hyperlink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30"/>
  <sheetViews>
    <sheetView showGridLines="0" zoomScaleNormal="100" workbookViewId="0">
      <selection activeCell="J7" sqref="J7"/>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194</v>
      </c>
      <c r="D3" s="8"/>
      <c r="E3" s="8"/>
      <c r="F3" s="8"/>
      <c r="G3" s="17" t="s">
        <v>2</v>
      </c>
      <c r="H3" s="8" t="s">
        <v>16</v>
      </c>
      <c r="I3" s="8"/>
    </row>
    <row r="4" spans="2:9" ht="17.25" customHeight="1" x14ac:dyDescent="0.3">
      <c r="B4" s="17" t="s">
        <v>96</v>
      </c>
      <c r="C4" s="8" t="s">
        <v>126</v>
      </c>
      <c r="D4" s="8"/>
      <c r="E4" s="8"/>
      <c r="F4" s="8"/>
      <c r="G4" s="17" t="s">
        <v>98</v>
      </c>
      <c r="H4" s="8" t="s">
        <v>14</v>
      </c>
      <c r="I4" s="8"/>
    </row>
    <row r="5" spans="2:9" ht="17.25" customHeight="1" x14ac:dyDescent="0.3">
      <c r="B5" s="17" t="s">
        <v>99</v>
      </c>
      <c r="C5" s="8" t="s">
        <v>150</v>
      </c>
      <c r="D5" s="8"/>
      <c r="E5" s="8"/>
      <c r="F5" s="8"/>
      <c r="G5" s="17" t="s">
        <v>100</v>
      </c>
      <c r="H5" s="5">
        <v>46240</v>
      </c>
      <c r="I5" s="5"/>
    </row>
    <row r="6" spans="2:9" ht="17.25" customHeight="1" x14ac:dyDescent="0.3">
      <c r="B6" s="17" t="s">
        <v>101</v>
      </c>
      <c r="C6" s="8" t="s">
        <v>17</v>
      </c>
      <c r="D6" s="8"/>
      <c r="E6" s="8"/>
      <c r="F6" s="8"/>
      <c r="G6" s="17" t="s">
        <v>102</v>
      </c>
      <c r="H6" s="4">
        <v>0.58333333333333304</v>
      </c>
      <c r="I6" s="4"/>
    </row>
    <row r="7" spans="2:9" ht="17.25" customHeight="1" x14ac:dyDescent="0.3">
      <c r="B7" s="17" t="s">
        <v>103</v>
      </c>
      <c r="C7" s="8" t="s">
        <v>140</v>
      </c>
      <c r="D7" s="8"/>
      <c r="E7" s="8"/>
      <c r="F7" s="8"/>
      <c r="G7" s="17" t="s">
        <v>105</v>
      </c>
      <c r="H7" s="4">
        <v>0.61111111111111105</v>
      </c>
      <c r="I7" s="4"/>
    </row>
    <row r="8" spans="2:9" ht="17.25" customHeight="1" x14ac:dyDescent="0.3">
      <c r="B8" s="17" t="s">
        <v>106</v>
      </c>
      <c r="C8" s="8" t="s">
        <v>107</v>
      </c>
      <c r="D8" s="8"/>
      <c r="E8" s="8"/>
      <c r="F8" s="8"/>
      <c r="G8" s="17" t="s">
        <v>108</v>
      </c>
      <c r="H8" s="3">
        <f>H7-H6</f>
        <v>2.7777777777778012E-2</v>
      </c>
      <c r="I8" s="3"/>
    </row>
    <row r="10" spans="2:9" ht="21.75" customHeight="1" x14ac:dyDescent="0.3">
      <c r="B10" s="2" t="s">
        <v>109</v>
      </c>
      <c r="C10" s="2"/>
      <c r="D10" s="2"/>
      <c r="E10" s="2"/>
      <c r="F10" s="2"/>
      <c r="G10" s="2"/>
      <c r="H10" s="2"/>
      <c r="I10" s="2"/>
    </row>
    <row r="11" spans="2:9" ht="17.25" customHeight="1" x14ac:dyDescent="0.3">
      <c r="B11" s="14">
        <v>1</v>
      </c>
      <c r="C11" s="8" t="s">
        <v>141</v>
      </c>
      <c r="D11" s="8"/>
      <c r="E11" s="8"/>
      <c r="F11" s="8"/>
      <c r="G11" s="8"/>
      <c r="H11" s="8"/>
      <c r="I11" s="8"/>
    </row>
    <row r="12" spans="2:9" ht="17.25" customHeight="1" x14ac:dyDescent="0.3">
      <c r="B12" s="14">
        <v>2</v>
      </c>
      <c r="C12" s="8" t="s">
        <v>142</v>
      </c>
      <c r="D12" s="8"/>
      <c r="E12" s="8"/>
      <c r="F12" s="8"/>
      <c r="G12" s="8"/>
      <c r="H12" s="8"/>
      <c r="I12" s="8"/>
    </row>
    <row r="13" spans="2:9" ht="17.25" customHeight="1" x14ac:dyDescent="0.3">
      <c r="B13" s="14">
        <v>3</v>
      </c>
      <c r="C13" s="8" t="s">
        <v>143</v>
      </c>
      <c r="D13" s="8"/>
      <c r="E13" s="8"/>
      <c r="F13" s="8"/>
      <c r="G13" s="8"/>
      <c r="H13" s="8"/>
      <c r="I13" s="8"/>
    </row>
    <row r="15" spans="2:9" ht="21.75" customHeight="1" x14ac:dyDescent="0.3">
      <c r="B15" s="2" t="s">
        <v>114</v>
      </c>
      <c r="C15" s="2"/>
      <c r="D15" s="2"/>
      <c r="E15" s="2"/>
      <c r="F15" s="2"/>
      <c r="G15" s="2"/>
      <c r="H15" s="2"/>
      <c r="I15" s="2"/>
    </row>
    <row r="16" spans="2:9" ht="17.25" customHeight="1" x14ac:dyDescent="0.3">
      <c r="B16" s="13" t="s">
        <v>115</v>
      </c>
      <c r="C16" s="9" t="s">
        <v>116</v>
      </c>
      <c r="D16" s="9"/>
      <c r="E16" s="9"/>
      <c r="F16" s="9"/>
      <c r="G16" s="9"/>
      <c r="H16" s="9"/>
      <c r="I16" s="9"/>
    </row>
    <row r="17" spans="2:9" ht="30.75" customHeight="1" x14ac:dyDescent="0.3">
      <c r="B17" s="14">
        <v>1</v>
      </c>
      <c r="C17" s="8" t="s">
        <v>151</v>
      </c>
      <c r="D17" s="8"/>
      <c r="E17" s="8"/>
      <c r="F17" s="8"/>
      <c r="G17" s="8"/>
      <c r="H17" s="8"/>
      <c r="I17" s="8"/>
    </row>
    <row r="18" spans="2:9" ht="44.25" customHeight="1" x14ac:dyDescent="0.3">
      <c r="B18" s="14">
        <v>2</v>
      </c>
      <c r="C18" s="8" t="s">
        <v>152</v>
      </c>
      <c r="D18" s="8"/>
      <c r="E18" s="8"/>
      <c r="F18" s="8"/>
      <c r="G18" s="8"/>
      <c r="H18" s="8"/>
      <c r="I18" s="8"/>
    </row>
    <row r="19" spans="2:9" ht="30.75" customHeight="1" x14ac:dyDescent="0.3">
      <c r="B19" s="14">
        <v>3</v>
      </c>
      <c r="C19" s="8" t="s">
        <v>153</v>
      </c>
      <c r="D19" s="8"/>
      <c r="E19" s="8"/>
      <c r="F19" s="8"/>
      <c r="G19" s="8"/>
      <c r="H19" s="8"/>
      <c r="I19" s="8"/>
    </row>
    <row r="20" spans="2:9" ht="30.75" customHeight="1" x14ac:dyDescent="0.3">
      <c r="B20" s="14">
        <v>4</v>
      </c>
      <c r="C20" s="8" t="s">
        <v>154</v>
      </c>
      <c r="D20" s="8"/>
      <c r="E20" s="8"/>
      <c r="F20" s="8"/>
      <c r="G20" s="8"/>
      <c r="H20" s="8"/>
      <c r="I20" s="8"/>
    </row>
    <row r="21" spans="2:9" ht="30.75" customHeight="1" x14ac:dyDescent="0.3">
      <c r="B21" s="14">
        <v>5</v>
      </c>
      <c r="C21" s="8" t="s">
        <v>155</v>
      </c>
      <c r="D21" s="8"/>
      <c r="E21" s="8"/>
      <c r="F21" s="8"/>
      <c r="G21" s="8"/>
      <c r="H21" s="8"/>
      <c r="I21" s="8"/>
    </row>
    <row r="23" spans="2:9" ht="21.75" customHeight="1" x14ac:dyDescent="0.3">
      <c r="B23" s="2" t="s">
        <v>122</v>
      </c>
      <c r="C23" s="2"/>
      <c r="D23" s="2"/>
      <c r="E23" s="2"/>
      <c r="F23" s="2"/>
      <c r="G23" s="2"/>
      <c r="H23" s="2"/>
      <c r="I23" s="2"/>
    </row>
    <row r="24" spans="2:9" ht="17.25" customHeight="1" x14ac:dyDescent="0.3">
      <c r="B24" s="13" t="s">
        <v>115</v>
      </c>
      <c r="C24" s="9" t="s">
        <v>116</v>
      </c>
      <c r="D24" s="9"/>
      <c r="E24" s="9"/>
      <c r="F24" s="9"/>
      <c r="G24" s="9" t="s">
        <v>123</v>
      </c>
      <c r="H24" s="9"/>
      <c r="I24" s="13" t="s">
        <v>124</v>
      </c>
    </row>
    <row r="25" spans="2:9" ht="17.25" customHeight="1" x14ac:dyDescent="0.3">
      <c r="B25" s="14">
        <v>1</v>
      </c>
      <c r="C25" s="8" t="s">
        <v>156</v>
      </c>
      <c r="D25" s="8"/>
      <c r="E25" s="8"/>
      <c r="F25" s="8"/>
      <c r="G25" s="8" t="s">
        <v>157</v>
      </c>
      <c r="H25" s="8"/>
      <c r="I25" s="14" t="s">
        <v>25</v>
      </c>
    </row>
    <row r="26" spans="2:9" ht="17.25" customHeight="1" x14ac:dyDescent="0.3">
      <c r="B26" s="14">
        <v>2</v>
      </c>
      <c r="C26" s="8" t="s">
        <v>158</v>
      </c>
      <c r="D26" s="8"/>
      <c r="E26" s="8"/>
      <c r="F26" s="8"/>
      <c r="G26" s="8" t="s">
        <v>126</v>
      </c>
      <c r="H26" s="8"/>
      <c r="I26" s="14" t="s">
        <v>28</v>
      </c>
    </row>
    <row r="28" spans="2:9" ht="17.25" customHeight="1" x14ac:dyDescent="0.3">
      <c r="B28" s="1" t="s">
        <v>135</v>
      </c>
      <c r="C28" s="1"/>
      <c r="D28" s="8" t="s">
        <v>136</v>
      </c>
      <c r="E28" s="8"/>
      <c r="F28" s="8"/>
      <c r="G28" s="8"/>
      <c r="H28" s="8"/>
      <c r="I28" s="8"/>
    </row>
    <row r="29" spans="2:9" ht="17.25" customHeight="1" x14ac:dyDescent="0.3">
      <c r="B29" s="1" t="s">
        <v>137</v>
      </c>
      <c r="C29" s="1"/>
      <c r="D29" s="8" t="s">
        <v>138</v>
      </c>
      <c r="E29" s="8"/>
      <c r="F29" s="8"/>
      <c r="G29" s="8"/>
      <c r="H29" s="8"/>
      <c r="I29" s="8"/>
    </row>
    <row r="30" spans="2:9" ht="17.25" customHeight="1" x14ac:dyDescent="0.3">
      <c r="B30" s="1" t="s">
        <v>139</v>
      </c>
      <c r="C30" s="1"/>
      <c r="D30" s="19" t="s">
        <v>200</v>
      </c>
      <c r="E30" s="8"/>
      <c r="F30" s="8"/>
      <c r="G30" s="8"/>
      <c r="H30" s="8"/>
      <c r="I30" s="8"/>
    </row>
  </sheetData>
  <mergeCells count="38">
    <mergeCell ref="B29:C29"/>
    <mergeCell ref="D29:I29"/>
    <mergeCell ref="B30:C30"/>
    <mergeCell ref="D30:I30"/>
    <mergeCell ref="C25:F25"/>
    <mergeCell ref="G25:H25"/>
    <mergeCell ref="C26:F26"/>
    <mergeCell ref="G26:H26"/>
    <mergeCell ref="B28:C28"/>
    <mergeCell ref="D28:I28"/>
    <mergeCell ref="C19:I19"/>
    <mergeCell ref="C20:I20"/>
    <mergeCell ref="C21:I21"/>
    <mergeCell ref="B23:I23"/>
    <mergeCell ref="C24:F24"/>
    <mergeCell ref="G24:H24"/>
    <mergeCell ref="C13:I13"/>
    <mergeCell ref="B15:I15"/>
    <mergeCell ref="C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30" r:id="rId1" xr:uid="{FEC20A7F-A978-429B-9007-04F8ECCEDDB3}"/>
  </hyperlinks>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I30"/>
  <sheetViews>
    <sheetView showGridLines="0" topLeftCell="A24" zoomScaleNormal="100" workbookViewId="0">
      <selection activeCell="F34" sqref="F34"/>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195</v>
      </c>
      <c r="D3" s="8"/>
      <c r="E3" s="8"/>
      <c r="F3" s="8"/>
      <c r="G3" s="17" t="s">
        <v>2</v>
      </c>
      <c r="H3" s="8" t="s">
        <v>18</v>
      </c>
      <c r="I3" s="8"/>
    </row>
    <row r="4" spans="2:9" ht="17.25" customHeight="1" x14ac:dyDescent="0.3">
      <c r="B4" s="17" t="s">
        <v>96</v>
      </c>
      <c r="C4" s="8" t="s">
        <v>126</v>
      </c>
      <c r="D4" s="8"/>
      <c r="E4" s="8"/>
      <c r="F4" s="8"/>
      <c r="G4" s="17" t="s">
        <v>98</v>
      </c>
      <c r="H4" s="8" t="s">
        <v>14</v>
      </c>
      <c r="I4" s="8"/>
    </row>
    <row r="5" spans="2:9" ht="17.25" customHeight="1" x14ac:dyDescent="0.3">
      <c r="B5" s="17" t="s">
        <v>99</v>
      </c>
      <c r="C5" s="8" t="s">
        <v>201</v>
      </c>
      <c r="D5" s="8"/>
      <c r="E5" s="8"/>
      <c r="F5" s="8"/>
      <c r="G5" s="17" t="s">
        <v>100</v>
      </c>
      <c r="H5" s="5">
        <v>46241</v>
      </c>
      <c r="I5" s="5"/>
    </row>
    <row r="6" spans="2:9" ht="17.25" customHeight="1" x14ac:dyDescent="0.3">
      <c r="B6" s="17" t="s">
        <v>101</v>
      </c>
      <c r="C6" s="8" t="s">
        <v>20</v>
      </c>
      <c r="D6" s="8"/>
      <c r="E6" s="8"/>
      <c r="F6" s="8"/>
      <c r="G6" s="17" t="s">
        <v>102</v>
      </c>
      <c r="H6" s="4">
        <v>0.41666666666666702</v>
      </c>
      <c r="I6" s="4"/>
    </row>
    <row r="7" spans="2:9" ht="17.25" customHeight="1" x14ac:dyDescent="0.3">
      <c r="B7" s="17" t="s">
        <v>103</v>
      </c>
      <c r="C7" s="8" t="s">
        <v>140</v>
      </c>
      <c r="D7" s="8"/>
      <c r="E7" s="8"/>
      <c r="F7" s="8"/>
      <c r="G7" s="17" t="s">
        <v>105</v>
      </c>
      <c r="H7" s="4">
        <v>0.44791666666666702</v>
      </c>
      <c r="I7" s="4"/>
    </row>
    <row r="8" spans="2:9" ht="17.25" customHeight="1" x14ac:dyDescent="0.3">
      <c r="B8" s="17" t="s">
        <v>106</v>
      </c>
      <c r="C8" s="8" t="s">
        <v>107</v>
      </c>
      <c r="D8" s="8"/>
      <c r="E8" s="8"/>
      <c r="F8" s="8"/>
      <c r="G8" s="17" t="s">
        <v>108</v>
      </c>
      <c r="H8" s="3">
        <f>H7-H6</f>
        <v>3.125E-2</v>
      </c>
      <c r="I8" s="3"/>
    </row>
    <row r="10" spans="2:9" ht="21.75" customHeight="1" x14ac:dyDescent="0.3">
      <c r="B10" s="2" t="s">
        <v>109</v>
      </c>
      <c r="C10" s="2"/>
      <c r="D10" s="2"/>
      <c r="E10" s="2"/>
      <c r="F10" s="2"/>
      <c r="G10" s="2"/>
      <c r="H10" s="2"/>
      <c r="I10" s="2"/>
    </row>
    <row r="11" spans="2:9" ht="17.25" customHeight="1" x14ac:dyDescent="0.3">
      <c r="B11" s="14">
        <v>1</v>
      </c>
      <c r="C11" s="8" t="s">
        <v>141</v>
      </c>
      <c r="D11" s="8"/>
      <c r="E11" s="8"/>
      <c r="F11" s="8"/>
      <c r="G11" s="8"/>
      <c r="H11" s="8"/>
      <c r="I11" s="8"/>
    </row>
    <row r="12" spans="2:9" ht="17.25" customHeight="1" x14ac:dyDescent="0.3">
      <c r="B12" s="14">
        <v>2</v>
      </c>
      <c r="C12" s="8" t="s">
        <v>142</v>
      </c>
      <c r="D12" s="8"/>
      <c r="E12" s="8"/>
      <c r="F12" s="8"/>
      <c r="G12" s="8"/>
      <c r="H12" s="8"/>
      <c r="I12" s="8"/>
    </row>
    <row r="13" spans="2:9" ht="17.25" customHeight="1" x14ac:dyDescent="0.3">
      <c r="B13" s="14">
        <v>3</v>
      </c>
      <c r="C13" s="8" t="s">
        <v>143</v>
      </c>
      <c r="D13" s="8"/>
      <c r="E13" s="8"/>
      <c r="F13" s="8"/>
      <c r="G13" s="8"/>
      <c r="H13" s="8"/>
      <c r="I13" s="8"/>
    </row>
    <row r="15" spans="2:9" ht="21.75" customHeight="1" x14ac:dyDescent="0.3">
      <c r="B15" s="2" t="s">
        <v>114</v>
      </c>
      <c r="C15" s="2"/>
      <c r="D15" s="2"/>
      <c r="E15" s="2"/>
      <c r="F15" s="2"/>
      <c r="G15" s="2"/>
      <c r="H15" s="2"/>
      <c r="I15" s="2"/>
    </row>
    <row r="16" spans="2:9" ht="17.25" customHeight="1" x14ac:dyDescent="0.3">
      <c r="B16" s="13" t="s">
        <v>115</v>
      </c>
      <c r="C16" s="9" t="s">
        <v>116</v>
      </c>
      <c r="D16" s="9"/>
      <c r="E16" s="9"/>
      <c r="F16" s="9"/>
      <c r="G16" s="9"/>
      <c r="H16" s="9"/>
      <c r="I16" s="9"/>
    </row>
    <row r="17" spans="2:9" ht="30.75" customHeight="1" x14ac:dyDescent="0.3">
      <c r="B17" s="14">
        <v>1</v>
      </c>
      <c r="C17" s="8" t="s">
        <v>159</v>
      </c>
      <c r="D17" s="8"/>
      <c r="E17" s="8"/>
      <c r="F17" s="8"/>
      <c r="G17" s="8"/>
      <c r="H17" s="8"/>
      <c r="I17" s="8"/>
    </row>
    <row r="18" spans="2:9" ht="44.25" customHeight="1" x14ac:dyDescent="0.3">
      <c r="B18" s="14">
        <v>2</v>
      </c>
      <c r="C18" s="8" t="s">
        <v>160</v>
      </c>
      <c r="D18" s="8"/>
      <c r="E18" s="8"/>
      <c r="F18" s="8"/>
      <c r="G18" s="8"/>
      <c r="H18" s="8"/>
      <c r="I18" s="8"/>
    </row>
    <row r="19" spans="2:9" ht="30.75" customHeight="1" x14ac:dyDescent="0.3">
      <c r="B19" s="14">
        <v>3</v>
      </c>
      <c r="C19" s="8" t="s">
        <v>204</v>
      </c>
      <c r="D19" s="8"/>
      <c r="E19" s="8"/>
      <c r="F19" s="8"/>
      <c r="G19" s="8"/>
      <c r="H19" s="8"/>
      <c r="I19" s="8"/>
    </row>
    <row r="20" spans="2:9" ht="30.75" customHeight="1" x14ac:dyDescent="0.3">
      <c r="B20" s="14">
        <v>4</v>
      </c>
      <c r="C20" s="8" t="s">
        <v>161</v>
      </c>
      <c r="D20" s="8"/>
      <c r="E20" s="8"/>
      <c r="F20" s="8"/>
      <c r="G20" s="8"/>
      <c r="H20" s="8"/>
      <c r="I20" s="8"/>
    </row>
    <row r="21" spans="2:9" ht="30.75" customHeight="1" x14ac:dyDescent="0.3">
      <c r="B21" s="14">
        <v>5</v>
      </c>
      <c r="C21" s="8" t="s">
        <v>162</v>
      </c>
      <c r="D21" s="8"/>
      <c r="E21" s="8"/>
      <c r="F21" s="8"/>
      <c r="G21" s="8"/>
      <c r="H21" s="8"/>
      <c r="I21" s="8"/>
    </row>
    <row r="23" spans="2:9" ht="21.75" customHeight="1" x14ac:dyDescent="0.3">
      <c r="B23" s="2" t="s">
        <v>122</v>
      </c>
      <c r="C23" s="2"/>
      <c r="D23" s="2"/>
      <c r="E23" s="2"/>
      <c r="F23" s="2"/>
      <c r="G23" s="2"/>
      <c r="H23" s="2"/>
      <c r="I23" s="2"/>
    </row>
    <row r="24" spans="2:9" ht="17.25" customHeight="1" x14ac:dyDescent="0.3">
      <c r="B24" s="13" t="s">
        <v>115</v>
      </c>
      <c r="C24" s="9" t="s">
        <v>116</v>
      </c>
      <c r="D24" s="9"/>
      <c r="E24" s="9"/>
      <c r="F24" s="9"/>
      <c r="G24" s="9" t="s">
        <v>123</v>
      </c>
      <c r="H24" s="9"/>
      <c r="I24" s="13" t="s">
        <v>124</v>
      </c>
    </row>
    <row r="25" spans="2:9" ht="30.75" customHeight="1" x14ac:dyDescent="0.3">
      <c r="B25" s="14">
        <v>1</v>
      </c>
      <c r="C25" s="8" t="s">
        <v>163</v>
      </c>
      <c r="D25" s="8"/>
      <c r="E25" s="8"/>
      <c r="F25" s="8"/>
      <c r="G25" s="8" t="s">
        <v>164</v>
      </c>
      <c r="H25" s="8"/>
      <c r="I25" s="14" t="s">
        <v>165</v>
      </c>
    </row>
    <row r="26" spans="2:9" ht="17.25" customHeight="1" x14ac:dyDescent="0.3">
      <c r="B26" s="14">
        <v>2</v>
      </c>
      <c r="C26" s="8" t="s">
        <v>166</v>
      </c>
      <c r="D26" s="8"/>
      <c r="E26" s="8"/>
      <c r="F26" s="8"/>
      <c r="G26" s="8" t="s">
        <v>126</v>
      </c>
      <c r="H26" s="8"/>
      <c r="I26" s="14" t="s">
        <v>28</v>
      </c>
    </row>
    <row r="28" spans="2:9" ht="17.25" customHeight="1" x14ac:dyDescent="0.3">
      <c r="B28" s="1" t="s">
        <v>135</v>
      </c>
      <c r="C28" s="1"/>
      <c r="D28" s="8" t="s">
        <v>136</v>
      </c>
      <c r="E28" s="8"/>
      <c r="F28" s="8"/>
      <c r="G28" s="8"/>
      <c r="H28" s="8"/>
      <c r="I28" s="8"/>
    </row>
    <row r="29" spans="2:9" ht="17.25" customHeight="1" x14ac:dyDescent="0.3">
      <c r="B29" s="1" t="s">
        <v>137</v>
      </c>
      <c r="C29" s="1"/>
      <c r="D29" s="8" t="s">
        <v>138</v>
      </c>
      <c r="E29" s="8"/>
      <c r="F29" s="8"/>
      <c r="G29" s="8"/>
      <c r="H29" s="8"/>
      <c r="I29" s="8"/>
    </row>
    <row r="30" spans="2:9" ht="17.25" customHeight="1" x14ac:dyDescent="0.3">
      <c r="B30" s="1" t="s">
        <v>139</v>
      </c>
      <c r="C30" s="1"/>
      <c r="D30" s="19" t="s">
        <v>200</v>
      </c>
      <c r="E30" s="8"/>
      <c r="F30" s="8"/>
      <c r="G30" s="8"/>
      <c r="H30" s="8"/>
      <c r="I30" s="8"/>
    </row>
  </sheetData>
  <mergeCells count="38">
    <mergeCell ref="B29:C29"/>
    <mergeCell ref="D29:I29"/>
    <mergeCell ref="B30:C30"/>
    <mergeCell ref="D30:I30"/>
    <mergeCell ref="C25:F25"/>
    <mergeCell ref="G25:H25"/>
    <mergeCell ref="C26:F26"/>
    <mergeCell ref="G26:H26"/>
    <mergeCell ref="B28:C28"/>
    <mergeCell ref="D28:I28"/>
    <mergeCell ref="C19:I19"/>
    <mergeCell ref="C20:I20"/>
    <mergeCell ref="C21:I21"/>
    <mergeCell ref="B23:I23"/>
    <mergeCell ref="C24:F24"/>
    <mergeCell ref="G24:H24"/>
    <mergeCell ref="C13:I13"/>
    <mergeCell ref="B15:I15"/>
    <mergeCell ref="C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30" r:id="rId1" xr:uid="{963964F8-7038-4C62-B5F4-7C59A360C3CB}"/>
  </hyperlinks>
  <pageMargins left="0.75" right="0.7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I28"/>
  <sheetViews>
    <sheetView showGridLines="0" topLeftCell="A21" zoomScaleNormal="100" workbookViewId="0">
      <selection activeCell="F32" sqref="F32"/>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196</v>
      </c>
      <c r="D3" s="8"/>
      <c r="E3" s="8"/>
      <c r="F3" s="8"/>
      <c r="G3" s="17" t="s">
        <v>2</v>
      </c>
      <c r="H3" s="8" t="s">
        <v>21</v>
      </c>
      <c r="I3" s="8"/>
    </row>
    <row r="4" spans="2:9" ht="17.25" customHeight="1" x14ac:dyDescent="0.3">
      <c r="B4" s="17" t="s">
        <v>96</v>
      </c>
      <c r="C4" s="8" t="s">
        <v>126</v>
      </c>
      <c r="D4" s="8"/>
      <c r="E4" s="8"/>
      <c r="F4" s="8"/>
      <c r="G4" s="17" t="s">
        <v>98</v>
      </c>
      <c r="H4" s="8" t="s">
        <v>22</v>
      </c>
      <c r="I4" s="8"/>
    </row>
    <row r="5" spans="2:9" ht="17.25" customHeight="1" x14ac:dyDescent="0.3">
      <c r="B5" s="17" t="s">
        <v>99</v>
      </c>
      <c r="C5" s="8" t="s">
        <v>205</v>
      </c>
      <c r="D5" s="8"/>
      <c r="E5" s="8"/>
      <c r="F5" s="8"/>
      <c r="G5" s="17" t="s">
        <v>100</v>
      </c>
      <c r="H5" s="5">
        <v>46241</v>
      </c>
      <c r="I5" s="5"/>
    </row>
    <row r="6" spans="2:9" ht="17.25" customHeight="1" x14ac:dyDescent="0.3">
      <c r="B6" s="17" t="s">
        <v>101</v>
      </c>
      <c r="C6" s="8" t="s">
        <v>23</v>
      </c>
      <c r="D6" s="8"/>
      <c r="E6" s="8"/>
      <c r="F6" s="8"/>
      <c r="G6" s="17" t="s">
        <v>102</v>
      </c>
      <c r="H6" s="4">
        <v>0.625</v>
      </c>
      <c r="I6" s="4"/>
    </row>
    <row r="7" spans="2:9" ht="17.25" customHeight="1" x14ac:dyDescent="0.3">
      <c r="B7" s="17" t="s">
        <v>103</v>
      </c>
      <c r="C7" s="8" t="s">
        <v>140</v>
      </c>
      <c r="D7" s="8"/>
      <c r="E7" s="8"/>
      <c r="F7" s="8"/>
      <c r="G7" s="17" t="s">
        <v>105</v>
      </c>
      <c r="H7" s="4">
        <v>0.66666666666666696</v>
      </c>
      <c r="I7" s="4"/>
    </row>
    <row r="8" spans="2:9" ht="17.25" customHeight="1" x14ac:dyDescent="0.3">
      <c r="B8" s="17" t="s">
        <v>106</v>
      </c>
      <c r="C8" s="8" t="s">
        <v>107</v>
      </c>
      <c r="D8" s="8"/>
      <c r="E8" s="8"/>
      <c r="F8" s="8"/>
      <c r="G8" s="17" t="s">
        <v>108</v>
      </c>
      <c r="H8" s="3">
        <f>H7-H6</f>
        <v>4.1666666666666963E-2</v>
      </c>
      <c r="I8" s="3"/>
    </row>
    <row r="10" spans="2:9" ht="21.75" customHeight="1" x14ac:dyDescent="0.3">
      <c r="B10" s="2" t="s">
        <v>109</v>
      </c>
      <c r="C10" s="2"/>
      <c r="D10" s="2"/>
      <c r="E10" s="2"/>
      <c r="F10" s="2"/>
      <c r="G10" s="2"/>
      <c r="H10" s="2"/>
      <c r="I10" s="2"/>
    </row>
    <row r="11" spans="2:9" ht="17.25" customHeight="1" x14ac:dyDescent="0.3">
      <c r="B11" s="14">
        <v>1</v>
      </c>
      <c r="C11" s="8" t="s">
        <v>141</v>
      </c>
      <c r="D11" s="8"/>
      <c r="E11" s="8"/>
      <c r="F11" s="8"/>
      <c r="G11" s="8"/>
      <c r="H11" s="8"/>
      <c r="I11" s="8"/>
    </row>
    <row r="12" spans="2:9" ht="17.25" customHeight="1" x14ac:dyDescent="0.3">
      <c r="B12" s="14">
        <v>2</v>
      </c>
      <c r="C12" s="8" t="s">
        <v>142</v>
      </c>
      <c r="D12" s="8"/>
      <c r="E12" s="8"/>
      <c r="F12" s="8"/>
      <c r="G12" s="8"/>
      <c r="H12" s="8"/>
      <c r="I12" s="8"/>
    </row>
    <row r="13" spans="2:9" ht="17.25" customHeight="1" x14ac:dyDescent="0.3">
      <c r="B13" s="14">
        <v>3</v>
      </c>
      <c r="C13" s="8" t="s">
        <v>143</v>
      </c>
      <c r="D13" s="8"/>
      <c r="E13" s="8"/>
      <c r="F13" s="8"/>
      <c r="G13" s="8"/>
      <c r="H13" s="8"/>
      <c r="I13" s="8"/>
    </row>
    <row r="15" spans="2:9" ht="21.75" customHeight="1" x14ac:dyDescent="0.3">
      <c r="B15" s="2" t="s">
        <v>114</v>
      </c>
      <c r="C15" s="2"/>
      <c r="D15" s="2"/>
      <c r="E15" s="2"/>
      <c r="F15" s="2"/>
      <c r="G15" s="2"/>
      <c r="H15" s="2"/>
      <c r="I15" s="2"/>
    </row>
    <row r="16" spans="2:9" ht="17.25" customHeight="1" x14ac:dyDescent="0.3">
      <c r="B16" s="13" t="s">
        <v>115</v>
      </c>
      <c r="C16" s="9" t="s">
        <v>116</v>
      </c>
      <c r="D16" s="9"/>
      <c r="E16" s="9"/>
      <c r="F16" s="9"/>
      <c r="G16" s="9"/>
      <c r="H16" s="9"/>
      <c r="I16" s="9"/>
    </row>
    <row r="17" spans="2:9" ht="30.75" customHeight="1" x14ac:dyDescent="0.3">
      <c r="B17" s="14">
        <v>1</v>
      </c>
      <c r="C17" s="8" t="s">
        <v>167</v>
      </c>
      <c r="D17" s="8"/>
      <c r="E17" s="8"/>
      <c r="F17" s="8"/>
      <c r="G17" s="8"/>
      <c r="H17" s="8"/>
      <c r="I17" s="8"/>
    </row>
    <row r="18" spans="2:9" ht="30.75" customHeight="1" x14ac:dyDescent="0.3">
      <c r="B18" s="14">
        <v>2</v>
      </c>
      <c r="C18" s="8" t="s">
        <v>168</v>
      </c>
      <c r="D18" s="8"/>
      <c r="E18" s="8"/>
      <c r="F18" s="8"/>
      <c r="G18" s="8"/>
      <c r="H18" s="8"/>
      <c r="I18" s="8"/>
    </row>
    <row r="19" spans="2:9" ht="30.75" customHeight="1" x14ac:dyDescent="0.3">
      <c r="B19" s="14">
        <v>3</v>
      </c>
      <c r="C19" s="8" t="s">
        <v>169</v>
      </c>
      <c r="D19" s="8"/>
      <c r="E19" s="8"/>
      <c r="F19" s="8"/>
      <c r="G19" s="8"/>
      <c r="H19" s="8"/>
      <c r="I19" s="8"/>
    </row>
    <row r="20" spans="2:9" ht="30.75" customHeight="1" x14ac:dyDescent="0.3">
      <c r="B20" s="14">
        <v>4</v>
      </c>
      <c r="C20" s="8" t="s">
        <v>170</v>
      </c>
      <c r="D20" s="8"/>
      <c r="E20" s="8"/>
      <c r="F20" s="8"/>
      <c r="G20" s="8"/>
      <c r="H20" s="8"/>
      <c r="I20" s="8"/>
    </row>
    <row r="22" spans="2:9" ht="21.75" customHeight="1" x14ac:dyDescent="0.3">
      <c r="B22" s="2" t="s">
        <v>122</v>
      </c>
      <c r="C22" s="2"/>
      <c r="D22" s="2"/>
      <c r="E22" s="2"/>
      <c r="F22" s="2"/>
      <c r="G22" s="2"/>
      <c r="H22" s="2"/>
      <c r="I22" s="2"/>
    </row>
    <row r="23" spans="2:9" ht="17.25" customHeight="1" x14ac:dyDescent="0.3">
      <c r="B23" s="13" t="s">
        <v>115</v>
      </c>
      <c r="C23" s="9" t="s">
        <v>116</v>
      </c>
      <c r="D23" s="9"/>
      <c r="E23" s="9"/>
      <c r="F23" s="9"/>
      <c r="G23" s="9" t="s">
        <v>123</v>
      </c>
      <c r="H23" s="9"/>
      <c r="I23" s="13" t="s">
        <v>124</v>
      </c>
    </row>
    <row r="24" spans="2:9" ht="30.75" customHeight="1" x14ac:dyDescent="0.3">
      <c r="B24" s="14">
        <v>1</v>
      </c>
      <c r="C24" s="8" t="s">
        <v>171</v>
      </c>
      <c r="D24" s="8"/>
      <c r="E24" s="8"/>
      <c r="F24" s="8"/>
      <c r="G24" s="8" t="s">
        <v>126</v>
      </c>
      <c r="H24" s="8"/>
      <c r="I24" s="14" t="s">
        <v>134</v>
      </c>
    </row>
    <row r="26" spans="2:9" ht="17.25" customHeight="1" x14ac:dyDescent="0.3">
      <c r="B26" s="1" t="s">
        <v>135</v>
      </c>
      <c r="C26" s="1"/>
      <c r="D26" s="8" t="s">
        <v>136</v>
      </c>
      <c r="E26" s="8"/>
      <c r="F26" s="8"/>
      <c r="G26" s="8"/>
      <c r="H26" s="8"/>
      <c r="I26" s="8"/>
    </row>
    <row r="27" spans="2:9" ht="17.25" customHeight="1" x14ac:dyDescent="0.3">
      <c r="B27" s="1" t="s">
        <v>137</v>
      </c>
      <c r="C27" s="1"/>
      <c r="D27" s="8" t="s">
        <v>138</v>
      </c>
      <c r="E27" s="8"/>
      <c r="F27" s="8"/>
      <c r="G27" s="8"/>
      <c r="H27" s="8"/>
      <c r="I27" s="8"/>
    </row>
    <row r="28" spans="2:9" ht="17.25" customHeight="1" x14ac:dyDescent="0.3">
      <c r="B28" s="1" t="s">
        <v>139</v>
      </c>
      <c r="C28" s="1"/>
      <c r="D28" s="19" t="s">
        <v>200</v>
      </c>
      <c r="E28" s="8"/>
      <c r="F28" s="8"/>
      <c r="G28" s="8"/>
      <c r="H28" s="8"/>
      <c r="I28" s="8"/>
    </row>
  </sheetData>
  <mergeCells count="35">
    <mergeCell ref="B28:C28"/>
    <mergeCell ref="D28:I28"/>
    <mergeCell ref="C24:F24"/>
    <mergeCell ref="G24:H24"/>
    <mergeCell ref="B26:C26"/>
    <mergeCell ref="D26:I26"/>
    <mergeCell ref="B27:C27"/>
    <mergeCell ref="D27:I27"/>
    <mergeCell ref="C19:I19"/>
    <mergeCell ref="C20:I20"/>
    <mergeCell ref="B22:I22"/>
    <mergeCell ref="C23:F23"/>
    <mergeCell ref="G23:H23"/>
    <mergeCell ref="C13:I13"/>
    <mergeCell ref="B15:I15"/>
    <mergeCell ref="C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28" r:id="rId1" xr:uid="{638C5548-E996-4E15-8676-E14149365BB2}"/>
  </hyperlinks>
  <pageMargins left="0.75" right="0.7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28"/>
  <sheetViews>
    <sheetView showGridLines="0" topLeftCell="A19" zoomScaleNormal="100" workbookViewId="0">
      <selection activeCell="D34" sqref="D34"/>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197</v>
      </c>
      <c r="D3" s="8"/>
      <c r="E3" s="8"/>
      <c r="F3" s="8"/>
      <c r="G3" s="17" t="s">
        <v>2</v>
      </c>
      <c r="H3" s="8" t="s">
        <v>24</v>
      </c>
      <c r="I3" s="8"/>
    </row>
    <row r="4" spans="2:9" ht="17.25" customHeight="1" x14ac:dyDescent="0.3">
      <c r="B4" s="17" t="s">
        <v>96</v>
      </c>
      <c r="C4" s="8" t="s">
        <v>126</v>
      </c>
      <c r="D4" s="8"/>
      <c r="E4" s="8"/>
      <c r="F4" s="8"/>
      <c r="G4" s="17" t="s">
        <v>98</v>
      </c>
      <c r="H4" s="8" t="s">
        <v>14</v>
      </c>
      <c r="I4" s="8"/>
    </row>
    <row r="5" spans="2:9" ht="17.25" customHeight="1" x14ac:dyDescent="0.3">
      <c r="B5" s="17" t="s">
        <v>99</v>
      </c>
      <c r="C5" s="8" t="s">
        <v>201</v>
      </c>
      <c r="D5" s="8"/>
      <c r="E5" s="8"/>
      <c r="F5" s="8"/>
      <c r="G5" s="17" t="s">
        <v>100</v>
      </c>
      <c r="H5" s="5">
        <v>46242</v>
      </c>
      <c r="I5" s="5"/>
    </row>
    <row r="6" spans="2:9" ht="17.25" customHeight="1" x14ac:dyDescent="0.3">
      <c r="B6" s="17" t="s">
        <v>101</v>
      </c>
      <c r="C6" s="8" t="s">
        <v>26</v>
      </c>
      <c r="D6" s="8"/>
      <c r="E6" s="8"/>
      <c r="F6" s="8"/>
      <c r="G6" s="17" t="s">
        <v>102</v>
      </c>
      <c r="H6" s="4">
        <v>0.39583333333333298</v>
      </c>
      <c r="I6" s="4"/>
    </row>
    <row r="7" spans="2:9" ht="17.25" customHeight="1" x14ac:dyDescent="0.3">
      <c r="B7" s="17" t="s">
        <v>103</v>
      </c>
      <c r="C7" s="8" t="s">
        <v>140</v>
      </c>
      <c r="D7" s="8"/>
      <c r="E7" s="8"/>
      <c r="F7" s="8"/>
      <c r="G7" s="17" t="s">
        <v>105</v>
      </c>
      <c r="H7" s="4">
        <v>0.41666666666666702</v>
      </c>
      <c r="I7" s="4"/>
    </row>
    <row r="8" spans="2:9" ht="17.25" customHeight="1" x14ac:dyDescent="0.3">
      <c r="B8" s="17" t="s">
        <v>106</v>
      </c>
      <c r="C8" s="8" t="s">
        <v>107</v>
      </c>
      <c r="D8" s="8"/>
      <c r="E8" s="8"/>
      <c r="F8" s="8"/>
      <c r="G8" s="17" t="s">
        <v>108</v>
      </c>
      <c r="H8" s="3">
        <f>H7-H6</f>
        <v>2.0833333333334036E-2</v>
      </c>
      <c r="I8" s="3"/>
    </row>
    <row r="10" spans="2:9" ht="21.75" customHeight="1" x14ac:dyDescent="0.3">
      <c r="B10" s="2" t="s">
        <v>109</v>
      </c>
      <c r="C10" s="2"/>
      <c r="D10" s="2"/>
      <c r="E10" s="2"/>
      <c r="F10" s="2"/>
      <c r="G10" s="2"/>
      <c r="H10" s="2"/>
      <c r="I10" s="2"/>
    </row>
    <row r="11" spans="2:9" ht="17.25" customHeight="1" x14ac:dyDescent="0.3">
      <c r="B11" s="14">
        <v>1</v>
      </c>
      <c r="C11" s="8" t="s">
        <v>141</v>
      </c>
      <c r="D11" s="8"/>
      <c r="E11" s="8"/>
      <c r="F11" s="8"/>
      <c r="G11" s="8"/>
      <c r="H11" s="8"/>
      <c r="I11" s="8"/>
    </row>
    <row r="12" spans="2:9" ht="17.25" customHeight="1" x14ac:dyDescent="0.3">
      <c r="B12" s="14">
        <v>2</v>
      </c>
      <c r="C12" s="8" t="s">
        <v>142</v>
      </c>
      <c r="D12" s="8"/>
      <c r="E12" s="8"/>
      <c r="F12" s="8"/>
      <c r="G12" s="8"/>
      <c r="H12" s="8"/>
      <c r="I12" s="8"/>
    </row>
    <row r="13" spans="2:9" ht="17.25" customHeight="1" x14ac:dyDescent="0.3">
      <c r="B13" s="14">
        <v>3</v>
      </c>
      <c r="C13" s="8" t="s">
        <v>143</v>
      </c>
      <c r="D13" s="8"/>
      <c r="E13" s="8"/>
      <c r="F13" s="8"/>
      <c r="G13" s="8"/>
      <c r="H13" s="8"/>
      <c r="I13" s="8"/>
    </row>
    <row r="15" spans="2:9" ht="21.75" customHeight="1" x14ac:dyDescent="0.3">
      <c r="B15" s="2" t="s">
        <v>114</v>
      </c>
      <c r="C15" s="2"/>
      <c r="D15" s="2"/>
      <c r="E15" s="2"/>
      <c r="F15" s="2"/>
      <c r="G15" s="2"/>
      <c r="H15" s="2"/>
      <c r="I15" s="2"/>
    </row>
    <row r="16" spans="2:9" ht="17.25" customHeight="1" x14ac:dyDescent="0.3">
      <c r="B16" s="13" t="s">
        <v>115</v>
      </c>
      <c r="C16" s="9" t="s">
        <v>116</v>
      </c>
      <c r="D16" s="9"/>
      <c r="E16" s="9"/>
      <c r="F16" s="9"/>
      <c r="G16" s="9"/>
      <c r="H16" s="9"/>
      <c r="I16" s="9"/>
    </row>
    <row r="17" spans="2:9" ht="30.75" customHeight="1" x14ac:dyDescent="0.3">
      <c r="B17" s="14">
        <v>1</v>
      </c>
      <c r="C17" s="8" t="s">
        <v>172</v>
      </c>
      <c r="D17" s="8"/>
      <c r="E17" s="8"/>
      <c r="F17" s="8"/>
      <c r="G17" s="8"/>
      <c r="H17" s="8"/>
      <c r="I17" s="8"/>
    </row>
    <row r="18" spans="2:9" ht="30.75" customHeight="1" x14ac:dyDescent="0.3">
      <c r="B18" s="14">
        <v>2</v>
      </c>
      <c r="C18" s="8" t="s">
        <v>173</v>
      </c>
      <c r="D18" s="8"/>
      <c r="E18" s="8"/>
      <c r="F18" s="8"/>
      <c r="G18" s="8"/>
      <c r="H18" s="8"/>
      <c r="I18" s="8"/>
    </row>
    <row r="19" spans="2:9" ht="44.25" customHeight="1" x14ac:dyDescent="0.3">
      <c r="B19" s="14">
        <v>3</v>
      </c>
      <c r="C19" s="8" t="s">
        <v>174</v>
      </c>
      <c r="D19" s="8"/>
      <c r="E19" s="8"/>
      <c r="F19" s="8"/>
      <c r="G19" s="8"/>
      <c r="H19" s="8"/>
      <c r="I19" s="8"/>
    </row>
    <row r="21" spans="2:9" ht="21.75" customHeight="1" x14ac:dyDescent="0.3">
      <c r="B21" s="2" t="s">
        <v>122</v>
      </c>
      <c r="C21" s="2"/>
      <c r="D21" s="2"/>
      <c r="E21" s="2"/>
      <c r="F21" s="2"/>
      <c r="G21" s="2"/>
      <c r="H21" s="2"/>
      <c r="I21" s="2"/>
    </row>
    <row r="22" spans="2:9" ht="17.25" customHeight="1" x14ac:dyDescent="0.3">
      <c r="B22" s="13" t="s">
        <v>115</v>
      </c>
      <c r="C22" s="9" t="s">
        <v>116</v>
      </c>
      <c r="D22" s="9"/>
      <c r="E22" s="9"/>
      <c r="F22" s="9"/>
      <c r="G22" s="9" t="s">
        <v>123</v>
      </c>
      <c r="H22" s="9"/>
      <c r="I22" s="13" t="s">
        <v>124</v>
      </c>
    </row>
    <row r="23" spans="2:9" ht="17.25" customHeight="1" x14ac:dyDescent="0.3">
      <c r="B23" s="14">
        <v>1</v>
      </c>
      <c r="C23" s="8" t="s">
        <v>175</v>
      </c>
      <c r="D23" s="8"/>
      <c r="E23" s="8"/>
      <c r="F23" s="8"/>
      <c r="G23" s="8" t="s">
        <v>128</v>
      </c>
      <c r="H23" s="8"/>
      <c r="I23" s="14" t="s">
        <v>28</v>
      </c>
    </row>
    <row r="24" spans="2:9" ht="17.25" customHeight="1" x14ac:dyDescent="0.3">
      <c r="B24" s="14">
        <v>2</v>
      </c>
      <c r="C24" s="8" t="s">
        <v>176</v>
      </c>
      <c r="D24" s="8"/>
      <c r="E24" s="8"/>
      <c r="F24" s="8"/>
      <c r="G24" s="8" t="s">
        <v>126</v>
      </c>
      <c r="H24" s="8"/>
      <c r="I24" s="14" t="s">
        <v>134</v>
      </c>
    </row>
    <row r="26" spans="2:9" ht="17.25" customHeight="1" x14ac:dyDescent="0.3">
      <c r="B26" s="1" t="s">
        <v>135</v>
      </c>
      <c r="C26" s="1"/>
      <c r="D26" s="8" t="s">
        <v>136</v>
      </c>
      <c r="E26" s="8"/>
      <c r="F26" s="8"/>
      <c r="G26" s="8"/>
      <c r="H26" s="8"/>
      <c r="I26" s="8"/>
    </row>
    <row r="27" spans="2:9" ht="17.25" customHeight="1" x14ac:dyDescent="0.3">
      <c r="B27" s="1" t="s">
        <v>137</v>
      </c>
      <c r="C27" s="1"/>
      <c r="D27" s="8" t="s">
        <v>138</v>
      </c>
      <c r="E27" s="8"/>
      <c r="F27" s="8"/>
      <c r="G27" s="8"/>
      <c r="H27" s="8"/>
      <c r="I27" s="8"/>
    </row>
    <row r="28" spans="2:9" ht="17.25" customHeight="1" x14ac:dyDescent="0.3">
      <c r="B28" s="1" t="s">
        <v>139</v>
      </c>
      <c r="C28" s="1"/>
      <c r="D28" s="19" t="s">
        <v>200</v>
      </c>
      <c r="E28" s="8"/>
      <c r="F28" s="8"/>
      <c r="G28" s="8"/>
      <c r="H28" s="8"/>
      <c r="I28" s="8"/>
    </row>
  </sheetData>
  <mergeCells count="36">
    <mergeCell ref="B28:C28"/>
    <mergeCell ref="D28:I28"/>
    <mergeCell ref="C24:F24"/>
    <mergeCell ref="G24:H24"/>
    <mergeCell ref="B26:C26"/>
    <mergeCell ref="D26:I26"/>
    <mergeCell ref="B27:C27"/>
    <mergeCell ref="D27:I27"/>
    <mergeCell ref="C19:I19"/>
    <mergeCell ref="B21:I21"/>
    <mergeCell ref="C22:F22"/>
    <mergeCell ref="G22:H22"/>
    <mergeCell ref="C23:F23"/>
    <mergeCell ref="G23:H23"/>
    <mergeCell ref="C13:I13"/>
    <mergeCell ref="B15:I15"/>
    <mergeCell ref="C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28" r:id="rId1" xr:uid="{6893979E-29B7-48B0-B569-ACAF83286E64}"/>
  </hyperlink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I33"/>
  <sheetViews>
    <sheetView showGridLines="0" topLeftCell="A22" zoomScaleNormal="100" workbookViewId="0">
      <selection activeCell="E36" sqref="E36"/>
    </sheetView>
  </sheetViews>
  <sheetFormatPr defaultColWidth="8.6640625" defaultRowHeight="14.4" x14ac:dyDescent="0.3"/>
  <cols>
    <col min="1" max="1" width="2" customWidth="1"/>
    <col min="2" max="2" width="12" customWidth="1"/>
    <col min="3" max="3" width="18" customWidth="1"/>
    <col min="4" max="8" width="14" customWidth="1"/>
    <col min="9" max="9" width="16" customWidth="1"/>
  </cols>
  <sheetData>
    <row r="1" spans="2:9" ht="33.75" customHeight="1" x14ac:dyDescent="0.3">
      <c r="B1" s="7" t="s">
        <v>94</v>
      </c>
      <c r="C1" s="7"/>
      <c r="D1" s="6" t="s">
        <v>198</v>
      </c>
      <c r="E1" s="6"/>
      <c r="F1" s="6"/>
      <c r="G1" s="6"/>
      <c r="H1" s="6"/>
      <c r="I1" s="6"/>
    </row>
    <row r="3" spans="2:9" ht="17.25" customHeight="1" x14ac:dyDescent="0.3">
      <c r="B3" s="17" t="s">
        <v>95</v>
      </c>
      <c r="C3" s="8" t="s">
        <v>29</v>
      </c>
      <c r="D3" s="8"/>
      <c r="E3" s="8"/>
      <c r="F3" s="8"/>
      <c r="G3" s="17" t="s">
        <v>2</v>
      </c>
      <c r="H3" s="8" t="s">
        <v>27</v>
      </c>
      <c r="I3" s="8"/>
    </row>
    <row r="4" spans="2:9" ht="17.25" customHeight="1" x14ac:dyDescent="0.3">
      <c r="B4" s="17" t="s">
        <v>96</v>
      </c>
      <c r="C4" s="8" t="s">
        <v>126</v>
      </c>
      <c r="D4" s="8"/>
      <c r="E4" s="8"/>
      <c r="F4" s="8"/>
      <c r="G4" s="17" t="s">
        <v>98</v>
      </c>
      <c r="H4" s="8" t="s">
        <v>30</v>
      </c>
      <c r="I4" s="8"/>
    </row>
    <row r="5" spans="2:9" ht="17.25" customHeight="1" x14ac:dyDescent="0.3">
      <c r="B5" s="17" t="s">
        <v>99</v>
      </c>
      <c r="C5" s="8" t="s">
        <v>199</v>
      </c>
      <c r="D5" s="8"/>
      <c r="E5" s="8"/>
      <c r="F5" s="8"/>
      <c r="G5" s="17" t="s">
        <v>100</v>
      </c>
      <c r="H5" s="5">
        <v>46245</v>
      </c>
      <c r="I5" s="5"/>
    </row>
    <row r="6" spans="2:9" ht="30.75" customHeight="1" x14ac:dyDescent="0.3">
      <c r="B6" s="17" t="s">
        <v>101</v>
      </c>
      <c r="C6" s="8" t="s">
        <v>31</v>
      </c>
      <c r="D6" s="8"/>
      <c r="E6" s="8"/>
      <c r="F6" s="8"/>
      <c r="G6" s="17" t="s">
        <v>102</v>
      </c>
      <c r="H6" s="4">
        <v>0.375</v>
      </c>
      <c r="I6" s="4"/>
    </row>
    <row r="7" spans="2:9" ht="17.25" customHeight="1" x14ac:dyDescent="0.3">
      <c r="B7" s="17" t="s">
        <v>103</v>
      </c>
      <c r="C7" s="8" t="s">
        <v>140</v>
      </c>
      <c r="D7" s="8"/>
      <c r="E7" s="8"/>
      <c r="F7" s="8"/>
      <c r="G7" s="17" t="s">
        <v>105</v>
      </c>
      <c r="H7" s="4">
        <v>0.45833333333333298</v>
      </c>
      <c r="I7" s="4"/>
    </row>
    <row r="8" spans="2:9" ht="17.25" customHeight="1" x14ac:dyDescent="0.3">
      <c r="B8" s="17" t="s">
        <v>106</v>
      </c>
      <c r="C8" s="8" t="s">
        <v>107</v>
      </c>
      <c r="D8" s="8"/>
      <c r="E8" s="8"/>
      <c r="F8" s="8"/>
      <c r="G8" s="17" t="s">
        <v>108</v>
      </c>
      <c r="H8" s="3">
        <f>H7-H6</f>
        <v>8.3333333333332982E-2</v>
      </c>
      <c r="I8" s="3"/>
    </row>
    <row r="10" spans="2:9" ht="21.75" customHeight="1" x14ac:dyDescent="0.3">
      <c r="B10" s="2" t="s">
        <v>109</v>
      </c>
      <c r="C10" s="2"/>
      <c r="D10" s="2"/>
      <c r="E10" s="2"/>
      <c r="F10" s="2"/>
      <c r="G10" s="2"/>
      <c r="H10" s="2"/>
      <c r="I10" s="2"/>
    </row>
    <row r="11" spans="2:9" ht="17.25" customHeight="1" x14ac:dyDescent="0.3">
      <c r="B11" s="14">
        <v>1</v>
      </c>
      <c r="C11" s="8" t="s">
        <v>177</v>
      </c>
      <c r="D11" s="8"/>
      <c r="E11" s="8"/>
      <c r="F11" s="8"/>
      <c r="G11" s="8"/>
      <c r="H11" s="8"/>
      <c r="I11" s="8"/>
    </row>
    <row r="12" spans="2:9" ht="17.25" customHeight="1" x14ac:dyDescent="0.3">
      <c r="B12" s="14">
        <v>2</v>
      </c>
      <c r="C12" s="8" t="s">
        <v>178</v>
      </c>
      <c r="D12" s="8"/>
      <c r="E12" s="8"/>
      <c r="F12" s="8"/>
      <c r="G12" s="8"/>
      <c r="H12" s="8"/>
      <c r="I12" s="8"/>
    </row>
    <row r="13" spans="2:9" ht="17.25" customHeight="1" x14ac:dyDescent="0.3">
      <c r="B13" s="14">
        <v>3</v>
      </c>
      <c r="C13" s="8" t="s">
        <v>179</v>
      </c>
      <c r="D13" s="8"/>
      <c r="E13" s="8"/>
      <c r="F13" s="8"/>
      <c r="G13" s="8"/>
      <c r="H13" s="8"/>
      <c r="I13" s="8"/>
    </row>
    <row r="14" spans="2:9" ht="17.25" customHeight="1" x14ac:dyDescent="0.3">
      <c r="B14" s="14">
        <v>4</v>
      </c>
      <c r="C14" s="8" t="s">
        <v>180</v>
      </c>
      <c r="D14" s="8"/>
      <c r="E14" s="8"/>
      <c r="F14" s="8"/>
      <c r="G14" s="8"/>
      <c r="H14" s="8"/>
      <c r="I14" s="8"/>
    </row>
    <row r="16" spans="2:9" ht="21.75" customHeight="1" x14ac:dyDescent="0.3">
      <c r="B16" s="2" t="s">
        <v>114</v>
      </c>
      <c r="C16" s="2"/>
      <c r="D16" s="2"/>
      <c r="E16" s="2"/>
      <c r="F16" s="2"/>
      <c r="G16" s="2"/>
      <c r="H16" s="2"/>
      <c r="I16" s="2"/>
    </row>
    <row r="17" spans="2:9" ht="17.25" customHeight="1" x14ac:dyDescent="0.3">
      <c r="B17" s="13" t="s">
        <v>115</v>
      </c>
      <c r="C17" s="9" t="s">
        <v>116</v>
      </c>
      <c r="D17" s="9"/>
      <c r="E17" s="9"/>
      <c r="F17" s="9"/>
      <c r="G17" s="9"/>
      <c r="H17" s="9"/>
      <c r="I17" s="9"/>
    </row>
    <row r="18" spans="2:9" ht="17.25" customHeight="1" x14ac:dyDescent="0.3">
      <c r="B18" s="14">
        <v>1</v>
      </c>
      <c r="C18" s="8" t="s">
        <v>181</v>
      </c>
      <c r="D18" s="8"/>
      <c r="E18" s="8"/>
      <c r="F18" s="8"/>
      <c r="G18" s="8"/>
      <c r="H18" s="8"/>
      <c r="I18" s="8"/>
    </row>
    <row r="19" spans="2:9" ht="17.25" customHeight="1" x14ac:dyDescent="0.3">
      <c r="B19" s="14">
        <v>2</v>
      </c>
      <c r="C19" s="8" t="s">
        <v>182</v>
      </c>
      <c r="D19" s="8"/>
      <c r="E19" s="8"/>
      <c r="F19" s="8"/>
      <c r="G19" s="8"/>
      <c r="H19" s="8"/>
      <c r="I19" s="8"/>
    </row>
    <row r="20" spans="2:9" ht="30.75" customHeight="1" x14ac:dyDescent="0.3">
      <c r="B20" s="14">
        <v>3</v>
      </c>
      <c r="C20" s="8" t="s">
        <v>183</v>
      </c>
      <c r="D20" s="8"/>
      <c r="E20" s="8"/>
      <c r="F20" s="8"/>
      <c r="G20" s="8"/>
      <c r="H20" s="8"/>
      <c r="I20" s="8"/>
    </row>
    <row r="21" spans="2:9" ht="30.75" customHeight="1" x14ac:dyDescent="0.3">
      <c r="B21" s="14">
        <v>4</v>
      </c>
      <c r="C21" s="8" t="s">
        <v>184</v>
      </c>
      <c r="D21" s="8"/>
      <c r="E21" s="8"/>
      <c r="F21" s="8"/>
      <c r="G21" s="8"/>
      <c r="H21" s="8"/>
      <c r="I21" s="8"/>
    </row>
    <row r="22" spans="2:9" ht="30.75" customHeight="1" x14ac:dyDescent="0.3">
      <c r="B22" s="14">
        <v>5</v>
      </c>
      <c r="C22" s="8" t="s">
        <v>185</v>
      </c>
      <c r="D22" s="8"/>
      <c r="E22" s="8"/>
      <c r="F22" s="8"/>
      <c r="G22" s="8"/>
      <c r="H22" s="8"/>
      <c r="I22" s="8"/>
    </row>
    <row r="23" spans="2:9" ht="17.25" customHeight="1" x14ac:dyDescent="0.3">
      <c r="B23" s="14">
        <v>6</v>
      </c>
      <c r="C23" s="8" t="s">
        <v>186</v>
      </c>
      <c r="D23" s="8"/>
      <c r="E23" s="8"/>
      <c r="F23" s="8"/>
      <c r="G23" s="8"/>
      <c r="H23" s="8"/>
      <c r="I23" s="8"/>
    </row>
    <row r="25" spans="2:9" ht="21.75" customHeight="1" x14ac:dyDescent="0.3">
      <c r="B25" s="2" t="s">
        <v>122</v>
      </c>
      <c r="C25" s="2"/>
      <c r="D25" s="2"/>
      <c r="E25" s="2"/>
      <c r="F25" s="2"/>
      <c r="G25" s="2"/>
      <c r="H25" s="2"/>
      <c r="I25" s="2"/>
    </row>
    <row r="26" spans="2:9" ht="17.25" customHeight="1" x14ac:dyDescent="0.3">
      <c r="B26" s="13" t="s">
        <v>115</v>
      </c>
      <c r="C26" s="9" t="s">
        <v>116</v>
      </c>
      <c r="D26" s="9"/>
      <c r="E26" s="9"/>
      <c r="F26" s="9"/>
      <c r="G26" s="9" t="s">
        <v>123</v>
      </c>
      <c r="H26" s="9"/>
      <c r="I26" s="13" t="s">
        <v>124</v>
      </c>
    </row>
    <row r="27" spans="2:9" ht="17.25" customHeight="1" x14ac:dyDescent="0.3">
      <c r="B27" s="14">
        <v>1</v>
      </c>
      <c r="C27" s="8" t="s">
        <v>187</v>
      </c>
      <c r="D27" s="8"/>
      <c r="E27" s="8"/>
      <c r="F27" s="8"/>
      <c r="G27" s="8" t="s">
        <v>126</v>
      </c>
      <c r="H27" s="8"/>
      <c r="I27" s="14" t="s">
        <v>165</v>
      </c>
    </row>
    <row r="28" spans="2:9" ht="17.25" customHeight="1" x14ac:dyDescent="0.3">
      <c r="B28" s="14">
        <v>2</v>
      </c>
      <c r="C28" s="8" t="s">
        <v>188</v>
      </c>
      <c r="D28" s="8"/>
      <c r="E28" s="8"/>
      <c r="F28" s="8"/>
      <c r="G28" s="8" t="s">
        <v>189</v>
      </c>
      <c r="H28" s="8"/>
      <c r="I28" s="14" t="s">
        <v>190</v>
      </c>
    </row>
    <row r="29" spans="2:9" ht="17.25" customHeight="1" x14ac:dyDescent="0.3">
      <c r="B29" s="14">
        <v>3</v>
      </c>
      <c r="C29" s="8" t="s">
        <v>191</v>
      </c>
      <c r="D29" s="8"/>
      <c r="E29" s="8"/>
      <c r="F29" s="8"/>
      <c r="G29" s="8" t="s">
        <v>128</v>
      </c>
      <c r="H29" s="8"/>
      <c r="I29" s="14" t="s">
        <v>190</v>
      </c>
    </row>
    <row r="31" spans="2:9" ht="17.25" customHeight="1" x14ac:dyDescent="0.3">
      <c r="B31" s="1" t="s">
        <v>135</v>
      </c>
      <c r="C31" s="1"/>
      <c r="D31" s="8" t="s">
        <v>136</v>
      </c>
      <c r="E31" s="8"/>
      <c r="F31" s="8"/>
      <c r="G31" s="8"/>
      <c r="H31" s="8"/>
      <c r="I31" s="8"/>
    </row>
    <row r="32" spans="2:9" ht="17.25" customHeight="1" x14ac:dyDescent="0.3">
      <c r="B32" s="1" t="s">
        <v>137</v>
      </c>
      <c r="C32" s="1"/>
      <c r="D32" s="8" t="s">
        <v>138</v>
      </c>
      <c r="E32" s="8"/>
      <c r="F32" s="8"/>
      <c r="G32" s="8"/>
      <c r="H32" s="8"/>
      <c r="I32" s="8"/>
    </row>
    <row r="33" spans="2:9" ht="17.25" customHeight="1" x14ac:dyDescent="0.3">
      <c r="B33" s="1" t="s">
        <v>139</v>
      </c>
      <c r="C33" s="1"/>
      <c r="D33" s="19" t="s">
        <v>200</v>
      </c>
      <c r="E33" s="8"/>
      <c r="F33" s="8"/>
      <c r="G33" s="8"/>
      <c r="H33" s="8"/>
      <c r="I33" s="8"/>
    </row>
  </sheetData>
  <mergeCells count="42">
    <mergeCell ref="B32:C32"/>
    <mergeCell ref="D32:I32"/>
    <mergeCell ref="B33:C33"/>
    <mergeCell ref="D33:I33"/>
    <mergeCell ref="C28:F28"/>
    <mergeCell ref="G28:H28"/>
    <mergeCell ref="C29:F29"/>
    <mergeCell ref="G29:H29"/>
    <mergeCell ref="B31:C31"/>
    <mergeCell ref="D31:I31"/>
    <mergeCell ref="B25:I25"/>
    <mergeCell ref="C26:F26"/>
    <mergeCell ref="G26:H26"/>
    <mergeCell ref="C27:F27"/>
    <mergeCell ref="G27:H27"/>
    <mergeCell ref="C19:I19"/>
    <mergeCell ref="C20:I20"/>
    <mergeCell ref="C21:I21"/>
    <mergeCell ref="C22:I22"/>
    <mergeCell ref="C23:I23"/>
    <mergeCell ref="C13:I13"/>
    <mergeCell ref="C14:I14"/>
    <mergeCell ref="B16:I16"/>
    <mergeCell ref="C17:I17"/>
    <mergeCell ref="C18:I18"/>
    <mergeCell ref="C8:F8"/>
    <mergeCell ref="H8:I8"/>
    <mergeCell ref="B10:I10"/>
    <mergeCell ref="C11:I11"/>
    <mergeCell ref="C12:I12"/>
    <mergeCell ref="C5:F5"/>
    <mergeCell ref="H5:I5"/>
    <mergeCell ref="C6:F6"/>
    <mergeCell ref="H6:I6"/>
    <mergeCell ref="C7:F7"/>
    <mergeCell ref="H7:I7"/>
    <mergeCell ref="B1:C1"/>
    <mergeCell ref="D1:I1"/>
    <mergeCell ref="C3:F3"/>
    <mergeCell ref="H3:I3"/>
    <mergeCell ref="C4:F4"/>
    <mergeCell ref="H4:I4"/>
  </mergeCells>
  <hyperlinks>
    <hyperlink ref="D33" r:id="rId1" xr:uid="{27F8F194-AA93-40C7-98B1-9E93827FCB92}"/>
  </hyperlink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Danh sách MOM</vt:lpstr>
      <vt:lpstr>Questionnaire 5W1H</vt:lpstr>
      <vt:lpstr>MOM-01 Kickoff</vt:lpstr>
      <vt:lpstr>MOM-02 PV CSKH</vt:lpstr>
      <vt:lpstr>MOM-03 PV Kho</vt:lpstr>
      <vt:lpstr>MOM-04 PV Kế toán</vt:lpstr>
      <vt:lpstr>MOM-05 PV Khách hàng</vt:lpstr>
      <vt:lpstr>MOM-06 PV Pháp chế</vt:lpstr>
      <vt:lpstr>MOM-07 Workshop BR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Lê Văn Mạnh</cp:lastModifiedBy>
  <cp:revision>0</cp:revision>
  <dcterms:created xsi:type="dcterms:W3CDTF">2026-10-23T07:34:18Z</dcterms:created>
  <dcterms:modified xsi:type="dcterms:W3CDTF">2026-10-23T08:43:31Z</dcterms:modified>
  <dc:language>en-US</dc:language>
</cp:coreProperties>
</file>