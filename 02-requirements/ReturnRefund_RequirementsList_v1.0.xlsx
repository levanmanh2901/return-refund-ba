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HP\Downloads\return-refund-ba\02-requirements\"/>
    </mc:Choice>
  </mc:AlternateContent>
  <xr:revisionPtr revIDLastSave="0" documentId="13_ncr:1_{8FAB5320-F41A-4088-AF51-21411647BBB3}" xr6:coauthVersionLast="47" xr6:coauthVersionMax="47" xr10:uidLastSave="{00000000-0000-0000-0000-000000000000}"/>
  <bookViews>
    <workbookView xWindow="-108" yWindow="-108" windowWidth="23256" windowHeight="12456" tabRatio="500" firstSheet="2" activeTab="5" xr2:uid="{00000000-000D-0000-FFFF-FFFF00000000}"/>
  </bookViews>
  <sheets>
    <sheet name="Hướng dẫn" sheetId="1" r:id="rId1"/>
    <sheet name="Dashboard" sheetId="2" r:id="rId2"/>
    <sheet name="RequirementsList" sheetId="3" r:id="rId3"/>
    <sheet name="User Stories" sheetId="4" r:id="rId4"/>
    <sheet name="RTM" sheetId="5" r:id="rId5"/>
    <sheet name="Open Questions" sheetId="6" r:id="rId6"/>
    <sheet name="CR management" sheetId="7" r:id="rId7"/>
    <sheet name="CR01" sheetId="8" r:id="rId8"/>
  </sheets>
  <definedNames>
    <definedName name="_xlnm._FilterDatabase" localSheetId="2" hidden="1">RequirementsList!$A$4:$T$25</definedName>
    <definedName name="_xlnm._FilterDatabase" localSheetId="4" hidden="1">RTM!$A$4:$K$18</definedName>
    <definedName name="_xlnm._FilterDatabase" localSheetId="3" hidden="1">'User Stories'!$A$4:$M$11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8" i="6" l="1"/>
  <c r="L8" i="6"/>
  <c r="M7" i="6"/>
  <c r="L7" i="6"/>
  <c r="M6" i="6"/>
  <c r="L6" i="6"/>
  <c r="M5" i="6"/>
  <c r="L5" i="6"/>
  <c r="K18" i="5"/>
  <c r="J18" i="5"/>
  <c r="K17" i="5"/>
  <c r="J17" i="5"/>
  <c r="K16" i="5"/>
  <c r="J16" i="5"/>
  <c r="K15" i="5"/>
  <c r="J15" i="5"/>
  <c r="K14" i="5"/>
  <c r="J14" i="5"/>
  <c r="K13" i="5"/>
  <c r="J13" i="5"/>
  <c r="K12" i="5"/>
  <c r="J12" i="5"/>
  <c r="K11" i="5"/>
  <c r="J11" i="5"/>
  <c r="K10" i="5"/>
  <c r="J10" i="5"/>
  <c r="K9" i="5"/>
  <c r="J9" i="5"/>
  <c r="K8" i="5"/>
  <c r="J8" i="5"/>
  <c r="K7" i="5"/>
  <c r="J7" i="5"/>
  <c r="K6" i="5"/>
  <c r="J6" i="5"/>
  <c r="K5" i="5"/>
  <c r="J5" i="5"/>
  <c r="B36" i="2"/>
  <c r="B35" i="2"/>
  <c r="B34" i="2"/>
  <c r="B33" i="2"/>
  <c r="B32" i="2"/>
  <c r="C28" i="2"/>
  <c r="D28" i="2" s="1"/>
  <c r="B28" i="2"/>
  <c r="C27" i="2"/>
  <c r="D27" i="2" s="1"/>
  <c r="B27" i="2"/>
  <c r="C26" i="2"/>
  <c r="C29" i="2" s="1"/>
  <c r="B26" i="2"/>
  <c r="B29" i="2" s="1"/>
  <c r="F21" i="2"/>
  <c r="E21" i="2"/>
  <c r="D21" i="2"/>
  <c r="C21" i="2"/>
  <c r="B21" i="2"/>
  <c r="F20" i="2"/>
  <c r="E20" i="2"/>
  <c r="D20" i="2"/>
  <c r="C20" i="2"/>
  <c r="B20" i="2"/>
  <c r="F19" i="2"/>
  <c r="E19" i="2"/>
  <c r="D19" i="2"/>
  <c r="C19" i="2"/>
  <c r="B19" i="2"/>
  <c r="F18" i="2"/>
  <c r="E18" i="2"/>
  <c r="D18" i="2"/>
  <c r="C18" i="2"/>
  <c r="B18" i="2"/>
  <c r="F17" i="2"/>
  <c r="E17" i="2"/>
  <c r="D17" i="2"/>
  <c r="C17" i="2"/>
  <c r="B17" i="2"/>
  <c r="F16" i="2"/>
  <c r="E16" i="2"/>
  <c r="D16" i="2"/>
  <c r="C16" i="2"/>
  <c r="B16" i="2"/>
  <c r="F15" i="2"/>
  <c r="E15" i="2"/>
  <c r="D15" i="2"/>
  <c r="C15" i="2"/>
  <c r="B15" i="2"/>
  <c r="C10" i="2"/>
  <c r="B10" i="2"/>
  <c r="D10" i="2" s="1"/>
  <c r="C9" i="2"/>
  <c r="B9" i="2"/>
  <c r="D9" i="2" s="1"/>
  <c r="C8" i="2"/>
  <c r="B8" i="2"/>
  <c r="D8" i="2" s="1"/>
  <c r="C7" i="2"/>
  <c r="B7" i="2"/>
  <c r="D7" i="2" s="1"/>
  <c r="C6" i="2"/>
  <c r="C11" i="2" s="1"/>
  <c r="B6" i="2"/>
  <c r="B11" i="2" s="1"/>
  <c r="D6" i="2" l="1"/>
  <c r="D11" i="2" s="1"/>
  <c r="D2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4" authorId="0" shapeId="0" xr:uid="{00000000-0006-0000-0100-000001000000}">
      <text>
        <r>
          <rPr>
            <sz val="10"/>
            <rFont val="Arial"/>
            <family val="2"/>
          </rPr>
          <t>Giả định: 3 Dev dùng chung với dự án khác, velocity ~20 SP/sprint 2 tuần.</t>
        </r>
      </text>
    </comment>
  </commentList>
</comments>
</file>

<file path=xl/sharedStrings.xml><?xml version="1.0" encoding="utf-8"?>
<sst xmlns="http://schemas.openxmlformats.org/spreadsheetml/2006/main" count="807" uniqueCount="421">
  <si>
    <t>1. Các sheet</t>
  </si>
  <si>
    <t>Sheet</t>
  </si>
  <si>
    <t>Nội dung</t>
  </si>
  <si>
    <t>Dashboard</t>
  </si>
  <si>
    <t>Tổng hợp tự động: yêu cầu theo ưu tiên và tiến độ, story point theo sprint, câu hỏi mở, CR</t>
  </si>
  <si>
    <t>RequirementsList</t>
  </si>
  <si>
    <t>Danh sách yêu cầu (FR, NFR) và tiến độ từng bộ phận: SRS, Design, BE, FE, App, Test, Deploy</t>
  </si>
  <si>
    <t>User Stories</t>
  </si>
  <si>
    <t>User story theo mẫu Là / tôi muốn / để, kèm Acceptance Criteria, ưu tiên, story point, sprint</t>
  </si>
  <si>
    <t>RTM</t>
  </si>
  <si>
    <t>Ma trận truy vết: Pain point → BR → FR → Rule → User Story → Use Case → Màn hình → Test</t>
  </si>
  <si>
    <t>Open Questions</t>
  </si>
  <si>
    <t>Câu hỏi cần stakeholder trả lời</t>
  </si>
  <si>
    <t>CR management</t>
  </si>
  <si>
    <t>Nhật ký yêu cầu thay đổi (Change Request)</t>
  </si>
  <si>
    <t>CR01</t>
  </si>
  <si>
    <t>Phiếu chi tiết của CR01</t>
  </si>
  <si>
    <t>2. Mức ưu tiên (Priority)</t>
  </si>
  <si>
    <t>Giá trị</t>
  </si>
  <si>
    <t>Ý nghĩa</t>
  </si>
  <si>
    <t>Bắt buộc, thiếu thì không thể triển khai</t>
  </si>
  <si>
    <t>Ưu tiên cao, vẫn có thể ra MVP nếu chưa có</t>
  </si>
  <si>
    <t>Mang lại giá trị, có thể ra MVP khi chưa có</t>
  </si>
  <si>
    <t>Ưu tiên thấp</t>
  </si>
  <si>
    <t>Ngoài phạm vi, dành cho phiên bản sau</t>
  </si>
  <si>
    <t>3. Trạng thái tiến độ (SRS, Design, BE, FE, App, Test, Deploy)</t>
  </si>
  <si>
    <t>New</t>
  </si>
  <si>
    <t>Chưa bắt đầu</t>
  </si>
  <si>
    <t>In progress</t>
  </si>
  <si>
    <t>Đang thực hiện</t>
  </si>
  <si>
    <t>Done</t>
  </si>
  <si>
    <t>Hoàn thành</t>
  </si>
  <si>
    <t>Blocked</t>
  </si>
  <si>
    <t>Bị chặn, chờ thông tin (ghi lý do ở cột Note)</t>
  </si>
  <si>
    <t>N/A</t>
  </si>
  <si>
    <t>Không áp dụng cho yêu cầu này</t>
  </si>
  <si>
    <t>4. Quy ước</t>
  </si>
  <si>
    <t>Ô nền vàng nhạt là cột cập nhật thường xuyên, chọn giá trị từ danh sách thả xuống. Các ô có công thức (Dashboard, Độ phủ test, Số ngày mở) tự tính, không nhập tay.</t>
  </si>
  <si>
    <t>DASHBOARD THEO DÕI YÊU CẦU</t>
  </si>
  <si>
    <t>1. Yêu cầu theo mức ưu tiên</t>
  </si>
  <si>
    <t>Priority</t>
  </si>
  <si>
    <t>FR</t>
  </si>
  <si>
    <t>NFR</t>
  </si>
  <si>
    <t>Tổng</t>
  </si>
  <si>
    <t>2. Tiến độ theo bộ phận</t>
  </si>
  <si>
    <t>Hạng mục</t>
  </si>
  <si>
    <t>SRS (BA)</t>
  </si>
  <si>
    <t>Design UI/UX</t>
  </si>
  <si>
    <t>BE</t>
  </si>
  <si>
    <t>FE</t>
  </si>
  <si>
    <t>App</t>
  </si>
  <si>
    <t>Test</t>
  </si>
  <si>
    <t>Deploy</t>
  </si>
  <si>
    <t>3. Story point theo sprint</t>
  </si>
  <si>
    <t>Năng lực mỗi sprint (SP)</t>
  </si>
  <si>
    <t>Sprint</t>
  </si>
  <si>
    <t>Số story</t>
  </si>
  <si>
    <t>Story point</t>
  </si>
  <si>
    <t>% năng lực</t>
  </si>
  <si>
    <t>Sprint 1</t>
  </si>
  <si>
    <t>Sprint 2</t>
  </si>
  <si>
    <t>Sprint 3</t>
  </si>
  <si>
    <t>4. Câu hỏi mở, CR và truy vết</t>
  </si>
  <si>
    <t>Câu hỏi mở đang mở</t>
  </si>
  <si>
    <t>Câu hỏi mở quá hạn</t>
  </si>
  <si>
    <t>Số Change Request</t>
  </si>
  <si>
    <t>FR chưa có test</t>
  </si>
  <si>
    <t>FR chưa có user story</t>
  </si>
  <si>
    <t>REQUIREMENTS LIST</t>
  </si>
  <si>
    <t>ID</t>
  </si>
  <si>
    <t>Platform</t>
  </si>
  <si>
    <t>Requirements/ Functions</t>
  </si>
  <si>
    <t>Steps/ Process</t>
  </si>
  <si>
    <t>Description</t>
  </si>
  <si>
    <t>Requested By</t>
  </si>
  <si>
    <t>Channel</t>
  </si>
  <si>
    <t>Requested Date</t>
  </si>
  <si>
    <t>Type</t>
  </si>
  <si>
    <t>Note</t>
  </si>
  <si>
    <t>Deploy date</t>
  </si>
  <si>
    <t>Code Version</t>
  </si>
  <si>
    <t>FR-01</t>
  </si>
  <si>
    <t>Tạo yêu cầu trả hàng</t>
  </si>
  <si>
    <t>Hiển thị sản phẩm đủ điều kiện</t>
  </si>
  <si>
    <t>Hiển thị các sản phẩm còn trong thời hạn trả hàng</t>
  </si>
  <si>
    <t>Phòng CSKH</t>
  </si>
  <si>
    <t>Chờ trả lời OQ-01</t>
  </si>
  <si>
    <t>FR-02</t>
  </si>
  <si>
    <t>Chọn sản phẩm, số lượng, lý do</t>
  </si>
  <si>
    <t>Tạo yêu cầu trả hàng: chọn sản phẩm, số lượng, lý do</t>
  </si>
  <si>
    <t>FR-03</t>
  </si>
  <si>
    <t>Tải minh chứng</t>
  </si>
  <si>
    <t>Tải ảnh/video minh chứng</t>
  </si>
  <si>
    <t>Chờ trả lời OQ-03</t>
  </si>
  <si>
    <t>FR-04</t>
  </si>
  <si>
    <t>Chọn hình thức gửi hàng, nơi nhận tiền</t>
  </si>
  <si>
    <t>Chọn hình thức gửi hàng và nơi nhận tiền hoàn</t>
  </si>
  <si>
    <t>Phòng Kế toán</t>
  </si>
  <si>
    <t>FR-05</t>
  </si>
  <si>
    <t>Backend</t>
  </si>
  <si>
    <t>Kiểm tra điều kiện tự động</t>
  </si>
  <si>
    <t>Kiểm tra điều kiện tự động khi tạo yêu cầu</t>
  </si>
  <si>
    <t>Pháp chế</t>
  </si>
  <si>
    <t>FR-06</t>
  </si>
  <si>
    <t>Theo dõi yêu cầu</t>
  </si>
  <si>
    <t>Xem trạng thái, lịch sử, hủy yêu cầu</t>
  </si>
  <si>
    <t>Xem trạng thái, lịch sử yêu cầu; hủy khi chưa gửi hàng</t>
  </si>
  <si>
    <t>Khách hàng</t>
  </si>
  <si>
    <t>FR-07</t>
  </si>
  <si>
    <t>Thông báo</t>
  </si>
  <si>
    <t>Gửi thông báo khi đổi trạng thái</t>
  </si>
  <si>
    <t>Gửi thông báo khi trạng thái thay đổi</t>
  </si>
  <si>
    <t>FR-08</t>
  </si>
  <si>
    <t>Web Admin</t>
  </si>
  <si>
    <t>Duyệt yêu cầu</t>
  </si>
  <si>
    <t>Danh sách chờ duyệt</t>
  </si>
  <si>
    <t>Danh sách yêu cầu chờ duyệt, sắp xếp theo SLA</t>
  </si>
  <si>
    <t>FR-09</t>
  </si>
  <si>
    <t>Duyệt / từ chối</t>
  </si>
  <si>
    <t>Duyệt/từ chối yêu cầu, bắt buộc nhập lý do khi từ chối</t>
  </si>
  <si>
    <t>FR-10</t>
  </si>
  <si>
    <t>Tạo mã trả hàng, đặt lịch lấy hàng</t>
  </si>
  <si>
    <t>Tự động tạo mã trả hàng và đặt lịch lấy hàng</t>
  </si>
  <si>
    <t>Phòng Kho</t>
  </si>
  <si>
    <t>FR-11</t>
  </si>
  <si>
    <t>Kiểm tra hàng trả</t>
  </si>
  <si>
    <t>Quét mã, kiểm tra theo checklist</t>
  </si>
  <si>
    <t>Quét mã tiếp nhận, kiểm tra hàng theo checklist kèm ảnh</t>
  </si>
  <si>
    <t>FR-12</t>
  </si>
  <si>
    <t>Hoàn tiền</t>
  </si>
  <si>
    <t>Tính tiền hoàn</t>
  </si>
  <si>
    <t>Tính số tiền hoàn tự động</t>
  </si>
  <si>
    <t>Chờ trả lời OQ-02</t>
  </si>
  <si>
    <t>FR-13</t>
  </si>
  <si>
    <t>Hoàn tiền qua API</t>
  </si>
  <si>
    <t>Hoàn tiền qua API cổng thanh toán/ví; tự thử lại khi lỗi</t>
  </si>
  <si>
    <t>Chờ trả lời OQ-04</t>
  </si>
  <si>
    <t>FR-14</t>
  </si>
  <si>
    <t>Xử lý hoàn tiền lỗi</t>
  </si>
  <si>
    <t>Xử lý thủ công các giao dịch hoàn tiền lỗi</t>
  </si>
  <si>
    <t>NFR-01</t>
  </si>
  <si>
    <t>Toàn hệ thống</t>
  </si>
  <si>
    <t>Phi chức năng</t>
  </si>
  <si>
    <t>Hiệu năng</t>
  </si>
  <si>
    <t>Màn hình phản hồi ≤ 2 giây; khách tạo xong yêu cầu trong ≤ 3 phút, tối đa 4 bước</t>
  </si>
  <si>
    <t>IT Lead</t>
  </si>
  <si>
    <t>NFR-02</t>
  </si>
  <si>
    <t>Tải tệp</t>
  </si>
  <si>
    <t>Ảnh ≤ 5MB/ảnh (JPG, PNG); video ≤ 30 giây, ≤ 20MB (MP4)</t>
  </si>
  <si>
    <t>Product Owner</t>
  </si>
  <si>
    <t>NFR-03</t>
  </si>
  <si>
    <t>Bảo mật</t>
  </si>
  <si>
    <t>Số tài khoản ngân hàng được mã hóa khi lưu, chỉ hiển thị 4 số cuối</t>
  </si>
  <si>
    <t>NFR-04</t>
  </si>
  <si>
    <t>Phân quyền</t>
  </si>
  <si>
    <t>Phân quyền theo vai trò; mọi thao tác duyệt, kiểm tra, hoàn tiền được ghi log</t>
  </si>
  <si>
    <t>NFR-05</t>
  </si>
  <si>
    <t>Tuân thủ</t>
  </si>
  <si>
    <t>Tuân thủ quy định bảo vệ dữ liệu cá nhân; ảnh/video minh chứng lưu tối đa 12 tháng</t>
  </si>
  <si>
    <t>NFR-06</t>
  </si>
  <si>
    <t>Khả dụng</t>
  </si>
  <si>
    <t>Uptime ≥ 99,5%; dữ liệu được sao lưu hằng ngày</t>
  </si>
  <si>
    <t>NFR-07</t>
  </si>
  <si>
    <t>Thông báo gửi đến khách trong vòng 1 phút sau khi trạng thái thay đổi</t>
  </si>
  <si>
    <t>USER STORIES</t>
  </si>
  <si>
    <t>As a (role/ profile)</t>
  </si>
  <si>
    <t>I want (action/ activity)</t>
  </si>
  <si>
    <t>So that (benefit/ reason)</t>
  </si>
  <si>
    <t>User story</t>
  </si>
  <si>
    <t>Acceptance Criteria</t>
  </si>
  <si>
    <t>Epic</t>
  </si>
  <si>
    <t>Ưu tiên (MoSCoW)</t>
  </si>
  <si>
    <t>Story Point</t>
  </si>
  <si>
    <t>Trạng thái</t>
  </si>
  <si>
    <t>US-01</t>
  </si>
  <si>
    <t>khách hàng</t>
  </si>
  <si>
    <t>tạo yêu cầu trả hàng ngay trên app</t>
  </si>
  <si>
    <t>không phải gọi hotline</t>
  </si>
  <si>
    <t>Là khách hàng, tôi muốn tạo yêu cầu trả hàng ngay trên app, để không phải gọi hotline.</t>
  </si>
  <si>
    <t>AC1: Given đơn giao thành công 2 ngày trước, When tôi mở màn hình trả hàng, Then sản phẩm còn hạn chọn được; sản phẩm hết hạn hoặc không áp dụng hiển thị mờ kèm lý do.
AC2: Given tôi đã chọn sản phẩm, lý do, minh chứng và hình thức gửi hàng, When tôi bấm "Gửi yêu cầu", Then hệ thống tạo mã RR-xxxxxx, trạng thái "Đã gửi".
AC3: Given tôi chưa chọn lý do, When tôi bấm "Tiếp tục", Then hệ thống hiển thị MSG01 và không chuyển bước.</t>
  </si>
  <si>
    <t>EP-01</t>
  </si>
  <si>
    <t>FR-01, FR-02, FR-03, FR-04, FR-05</t>
  </si>
  <si>
    <t>Must</t>
  </si>
  <si>
    <t>Ready</t>
  </si>
  <si>
    <t>US-02</t>
  </si>
  <si>
    <t>biết trước số tiền được hoàn và các khoản bị trừ</t>
  </si>
  <si>
    <t>quyết định có trả hàng hay không</t>
  </si>
  <si>
    <t>Là khách hàng, tôi muốn biết trước số tiền được hoàn và các khoản bị trừ, để quyết định có trả hàng hay không.</t>
  </si>
  <si>
    <t>AC1: Given tôi trả ốp lưng 2.000.000đ trong đơn 10.000.000đ có voucher 1.000.000đ, lý do "Đổi ý", gửi qua shipper, When đến bước xác nhận, Then hệ thống hiển thị tiền hoàn 1.770.000đ.
AC2: Given lý do "Lỗi kỹ thuật", When đến bước xác nhận, Then phí vận chuyển hiển thị 0đ.</t>
  </si>
  <si>
    <t>US-03</t>
  </si>
  <si>
    <t>theo dõi yêu cầu và nhận thông báo khi trạng thái thay đổi</t>
  </si>
  <si>
    <t>không phải gọi hỏi tiến độ</t>
  </si>
  <si>
    <t>Là khách hàng, tôi muốn theo dõi yêu cầu và nhận thông báo khi trạng thái thay đổi, để không phải gọi hỏi tiến độ.</t>
  </si>
  <si>
    <t>AC1: Given tôi có yêu cầu đang xử lý, When tôi mở "Yêu cầu trả hàng của tôi", Then tôi thấy trạng thái hiện tại và dòng thời gian các bước.
AC2: Given CSKH vừa duyệt yêu cầu, When trạng thái đổi sang "Đã duyệt", Then tôi nhận thông báo trong vòng 1 phút.
AC3: Given yêu cầu chưa gửi hàng, When tôi bấm "Hủy yêu cầu" và xác nhận, Then trạng thái chuyển "Đã hủy".</t>
  </si>
  <si>
    <t>FR-06, FR-07</t>
  </si>
  <si>
    <t>US-04</t>
  </si>
  <si>
    <t>nhân viên CSKH</t>
  </si>
  <si>
    <t>xem minh chứng và duyệt yêu cầu trên một màn hình</t>
  </si>
  <si>
    <t>xử lý nhanh mà không cần qua Zalo, email</t>
  </si>
  <si>
    <t>Là nhân viên CSKH, tôi muốn xem minh chứng và duyệt yêu cầu trên một màn hình, để xử lý nhanh mà không cần qua Zalo, email.</t>
  </si>
  <si>
    <t>AC1: Given có yêu cầu mới, When tôi mở danh sách chờ duyệt, Then yêu cầu được sắp xếp theo SLA còn lại.
AC2: Given tôi bấm "Duyệt", When xác nhận, Then trạng thái chuyển "Đã duyệt", mã trả hàng được tạo và khách nhận thông báo MSG09.
AC3: Given tôi bấm "Từ chối", When chưa nhập lý do, Then hệ thống hiển thị MSG11 và không cho xác nhận.</t>
  </si>
  <si>
    <t>EP-02</t>
  </si>
  <si>
    <t>FR-08, FR-09, FR-10</t>
  </si>
  <si>
    <t>US-05</t>
  </si>
  <si>
    <t>nhân viên kho</t>
  </si>
  <si>
    <t>quét mã và kiểm tra hàng trả theo checklist trên hệ thống</t>
  </si>
  <si>
    <t>kết quả nhất quán, không cần ghi Excel</t>
  </si>
  <si>
    <t>Là nhân viên kho, tôi muốn quét mã và kiểm tra hàng trả theo checklist trên hệ thống, để kết quả nhất quán, không cần ghi Excel.</t>
  </si>
  <si>
    <t>AC1: Given kiện hàng có mã trả hàng hợp lệ, When tôi quét mã, Then hệ thống hiển thị yêu cầu và checklist, trạng thái chuyển "Đã nhận hàng".
AC2: Given IMEI thực tế khác IMEI trên đơn, When tôi nhập IMEI, Then hệ thống hiển thị MSG13 và khóa nút "Đạt".</t>
  </si>
  <si>
    <t>US-06</t>
  </si>
  <si>
    <t>được hoàn tiền tự động sau khi hàng đạt kiểm tra</t>
  </si>
  <si>
    <t>nhận tiền nhanh và chính xác</t>
  </si>
  <si>
    <t>Là khách hàng, tôi muốn được hoàn tiền tự động sau khi hàng đạt kiểm tra, để nhận tiền nhanh và chính xác.</t>
  </si>
  <si>
    <t>AC1: Given yêu cầu đạt kiểm tra, hoàn về ví Điện Máy Cam, When kết quả được xác nhận, Then tiền được cộng vào ví trong 24 giờ và tôi nhận MSG15.
AC2: Given API hoàn tiền lỗi, When hệ thống đã thử lại 3 lần không thành công, Then trạng thái chuyển "Hoàn tiền lỗi" và Kế toán nhận tác vụ xử lý thủ công.</t>
  </si>
  <si>
    <t>EP-03</t>
  </si>
  <si>
    <t>FR-12, FR-13, FR-14</t>
  </si>
  <si>
    <t>Backlog</t>
  </si>
  <si>
    <t>PBI-07</t>
  </si>
  <si>
    <t>đổi sản phẩm lỗi sang sản phẩm khác</t>
  </si>
  <si>
    <t>không phải trả hàng rồi đặt mua lại</t>
  </si>
  <si>
    <t>Là khách hàng, tôi muốn đổi sản phẩm lỗi sang sản phẩm khác, để không phải trả hàng rồi đặt mua lại.</t>
  </si>
  <si>
    <t>—</t>
  </si>
  <si>
    <t>Won't</t>
  </si>
  <si>
    <t>Phiên bản 2</t>
  </si>
  <si>
    <t>MA TRẬN TRUY VẾT YÊU CẦU (RTM)</t>
  </si>
  <si>
    <t>Mô tả</t>
  </si>
  <si>
    <t>BR</t>
  </si>
  <si>
    <t>Pain Point</t>
  </si>
  <si>
    <t>Business Rule</t>
  </si>
  <si>
    <t>User Story</t>
  </si>
  <si>
    <t>Use Case</t>
  </si>
  <si>
    <t>Màn hình</t>
  </si>
  <si>
    <t>Test Scenario</t>
  </si>
  <si>
    <t>Độ phủ test</t>
  </si>
  <si>
    <t>BR-01</t>
  </si>
  <si>
    <t>RULE-01, RULE-02</t>
  </si>
  <si>
    <t>UC-01</t>
  </si>
  <si>
    <t>M1, M2</t>
  </si>
  <si>
    <t>TS-01</t>
  </si>
  <si>
    <t>PP-01</t>
  </si>
  <si>
    <t>RULE-03, RULE-04</t>
  </si>
  <si>
    <t>M2</t>
  </si>
  <si>
    <t>TS-02</t>
  </si>
  <si>
    <t>RULE-05</t>
  </si>
  <si>
    <t>M3</t>
  </si>
  <si>
    <t>TS-03</t>
  </si>
  <si>
    <t>RULE-07, RULE-10</t>
  </si>
  <si>
    <t>M4</t>
  </si>
  <si>
    <t>BR-02</t>
  </si>
  <si>
    <t>PP-07</t>
  </si>
  <si>
    <t>UC-06</t>
  </si>
  <si>
    <t>PP-04</t>
  </si>
  <si>
    <t>RULE-07</t>
  </si>
  <si>
    <t>UC-02</t>
  </si>
  <si>
    <t>M7</t>
  </si>
  <si>
    <t>TS-05</t>
  </si>
  <si>
    <t>RULE-13</t>
  </si>
  <si>
    <t>PP-02</t>
  </si>
  <si>
    <t>RULE-06</t>
  </si>
  <si>
    <t>UC-03</t>
  </si>
  <si>
    <t>A1</t>
  </si>
  <si>
    <t>TS-06</t>
  </si>
  <si>
    <t>A2</t>
  </si>
  <si>
    <t>UC-07</t>
  </si>
  <si>
    <t>PP-03, PP-07</t>
  </si>
  <si>
    <t>RULE-09</t>
  </si>
  <si>
    <t>UC-04</t>
  </si>
  <si>
    <t>A3</t>
  </si>
  <si>
    <t>TS-07</t>
  </si>
  <si>
    <t>BR-03</t>
  </si>
  <si>
    <t>PP-06</t>
  </si>
  <si>
    <t>RULE-08, RULE-11</t>
  </si>
  <si>
    <t>US-02, US-06</t>
  </si>
  <si>
    <t>UC-05</t>
  </si>
  <si>
    <t>M5</t>
  </si>
  <si>
    <t>TS-04</t>
  </si>
  <si>
    <t>PP-05</t>
  </si>
  <si>
    <t>RULE-12</t>
  </si>
  <si>
    <t>TS-08</t>
  </si>
  <si>
    <t>A4</t>
  </si>
  <si>
    <t>Ghi chú: "Thiếu" ở cột Độ phủ test = yêu cầu chưa có kịch bản kiểm thử; ô User Story vàng = yêu cầu chưa có user story riêng.</t>
  </si>
  <si>
    <t>DANH SÁCH CÂU HỎI MỞ (OPEN QUESTIONS)</t>
  </si>
  <si>
    <t>Ngày cập nhật:</t>
  </si>
  <si>
    <t>← nhập ngày cập nhật báo cáo; cột Số ngày mở và Cảnh báo tính theo ngày này</t>
  </si>
  <si>
    <t>Câu hỏi</t>
  </si>
  <si>
    <t>Phát sinh từ</t>
  </si>
  <si>
    <t>Ảnh hưởng</t>
  </si>
  <si>
    <t>Đề xuất của BA</t>
  </si>
  <si>
    <t>Người quyết định</t>
  </si>
  <si>
    <t>Ngày mở</t>
  </si>
  <si>
    <t>Hạn trả lời</t>
  </si>
  <si>
    <t>Câu trả lời / Quyết định</t>
  </si>
  <si>
    <t>Ngày đóng</t>
  </si>
  <si>
    <t>Số ngày mở</t>
  </si>
  <si>
    <t>Cảnh báo</t>
  </si>
  <si>
    <t>OQ-01</t>
  </si>
  <si>
    <t>Thời hạn 7 ngày tính theo ngày lịch hay 168 giờ?</t>
  </si>
  <si>
    <t>TC-01.1</t>
  </si>
  <si>
    <t>FR-01, RULE-01</t>
  </si>
  <si>
    <t>Ngày lịch, hết 23:59 ngày cuối</t>
  </si>
  <si>
    <t>Mở</t>
  </si>
  <si>
    <t>OQ-02</t>
  </si>
  <si>
    <t>Quy tắc làm tròn khi phân bổ voucher?</t>
  </si>
  <si>
    <t>TC-04.4</t>
  </si>
  <si>
    <t>FR-12, RULE-11</t>
  </si>
  <si>
    <t>Làm tròn đến đồng, phần lệch dồn sản phẩm cuối</t>
  </si>
  <si>
    <t>Kế toán</t>
  </si>
  <si>
    <t>OQ-03</t>
  </si>
  <si>
    <t>Có chấp nhận ảnh HEIC?</t>
  </si>
  <si>
    <t>TC-03.3</t>
  </si>
  <si>
    <t>FR-03, NFR-02, RULE-05</t>
  </si>
  <si>
    <t>Tự động chuyển sang JPG</t>
  </si>
  <si>
    <t>PO + Dev</t>
  </si>
  <si>
    <t>OQ-04</t>
  </si>
  <si>
    <t>Thử lại khi API hoàn tiền timeout xử lý thế nào?</t>
  </si>
  <si>
    <t>TC-08.3</t>
  </si>
  <si>
    <t>FR-13, RULE-12</t>
  </si>
  <si>
    <t>Truy vấn trạng thái giao dịch trước khi thử lại</t>
  </si>
  <si>
    <t>Dev + Kế toán</t>
  </si>
  <si>
    <t>CR MANAGEMENT</t>
  </si>
  <si>
    <t>STT</t>
  </si>
  <si>
    <t>Mã CR</t>
  </si>
  <si>
    <t>Ngày</t>
  </si>
  <si>
    <t>Thể hiện</t>
  </si>
  <si>
    <t>Hệ thống</t>
  </si>
  <si>
    <t>Tính năng</t>
  </si>
  <si>
    <t>Trước thay đổi</t>
  </si>
  <si>
    <t>Sau thay đổi</t>
  </si>
  <si>
    <t>Chi tiết thay đổi</t>
  </si>
  <si>
    <t>Ưu tiên</t>
  </si>
  <si>
    <t>Ver SRS</t>
  </si>
  <si>
    <t>BA</t>
  </si>
  <si>
    <t>UX</t>
  </si>
  <si>
    <t>IoS</t>
  </si>
  <si>
    <t>Android</t>
  </si>
  <si>
    <t>QA verify</t>
  </si>
  <si>
    <t>App/CMS</t>
  </si>
  <si>
    <t>Trả hàng &amp; Hoàn tiền</t>
  </si>
  <si>
    <t>Đổi hàng</t>
  </si>
  <si>
    <t>Phiên bản 1 chỉ hỗ trợ trả hàng và hoàn tiền</t>
  </si>
  <si>
    <t>Cho phép khách đổi sản phẩm lỗi sang sản phẩm khác (cùng giá hoặc bù/hoàn chênh lệch)</t>
  </si>
  <si>
    <t>Bổ sung luồng đổi hàng: chọn sản phẩm thay thế, kiểm tra tồn kho, xuất hàng thay thế, thanh toán bù chênh lệch. Ước tính +16 SP.</t>
  </si>
  <si>
    <t>1.0</t>
  </si>
  <si>
    <t>Mỗi thay đổi phát sinh sau khi tài liệu đã duyệt được ghi một dòng tại đây và lập phiếu chi tiết (sheet CRxx) để đánh giá tác động trước khi phê duyệt.</t>
  </si>
  <si>
    <t>Thông tin cơ bản</t>
  </si>
  <si>
    <t>Chi tiết</t>
  </si>
  <si>
    <t>1</t>
  </si>
  <si>
    <t>Ngày yêu cầu:</t>
  </si>
  <si>
    <t>14/08/2026</t>
  </si>
  <si>
    <t>2</t>
  </si>
  <si>
    <t>Tên người yêu cầu:</t>
  </si>
  <si>
    <t>Trưởng phòng CSKH</t>
  </si>
  <si>
    <t>3</t>
  </si>
  <si>
    <t>Dự án / Tên sản phẩm:</t>
  </si>
  <si>
    <t>4</t>
  </si>
  <si>
    <t>Phiên bản hiện tại:</t>
  </si>
  <si>
    <t>SRS 1.0</t>
  </si>
  <si>
    <t>5</t>
  </si>
  <si>
    <t>Mô tả ngắn của yêu cầu thay đổi:</t>
  </si>
  <si>
    <t>Bổ sung chức năng đổi hàng: đổi sản phẩm lỗi sang sản phẩm khác</t>
  </si>
  <si>
    <t>6.1</t>
  </si>
  <si>
    <t>Mục đích của yêu cầu thay đổi:</t>
  </si>
  <si>
    <t>Khoảng 15% khách gọi hotline muốn đổi sang sản phẩm khác thay vì trả hàng</t>
  </si>
  <si>
    <t>6.2</t>
  </si>
  <si>
    <t>Lợi ích kỳ vọng:</t>
  </si>
  <si>
    <t>Giữ doanh thu (khách đổi thay vì trả), tăng hài lòng khách hàng</t>
  </si>
  <si>
    <t>7.1</t>
  </si>
  <si>
    <t>Phạm vi thay đổi:</t>
  </si>
  <si>
    <t>Bổ sung quy tắc đổi hàng; sửa RULE-11 (tính tiền), FR-02, FR-11, FR-12; màn hình M2, M5; luồng thanh toán bù</t>
  </si>
  <si>
    <t>8.1</t>
  </si>
  <si>
    <t>Mô tả chi tiết thay đổi được đề xuất:</t>
  </si>
  <si>
    <t>Khách chọn "Đổi hàng" và sản phẩm thay thế; hàng đạt kiểm tra thì Kho xuất hàng thay thế; nếu chênh giá, khách thanh toán bù hoặc được hoàn phần chênh theo RULE-10</t>
  </si>
  <si>
    <t>9.1</t>
  </si>
  <si>
    <t>Ước lượng số giờ/công:</t>
  </si>
  <si>
    <t>Khoảng 16 story point</t>
  </si>
  <si>
    <t>9.2</t>
  </si>
  <si>
    <t>Ước lượng thời gian:</t>
  </si>
  <si>
    <t>1 sprint (2 tuần)</t>
  </si>
  <si>
    <t>10.1</t>
  </si>
  <si>
    <t>Tác động dự kiến đối với người dùng cuối:</t>
  </si>
  <si>
    <t>Thêm lựa chọn khi đổi hàng; cần hiển thị rõ số tiền bù/hoàn</t>
  </si>
  <si>
    <t>10.2</t>
  </si>
  <si>
    <t>Tác động đối với hệ thống hiện tại:</t>
  </si>
  <si>
    <t>Ảnh hưởng mốc go-live 3 tháng; cần tích hợp thêm luồng thanh toán</t>
  </si>
  <si>
    <t>11.1</t>
  </si>
  <si>
    <t>Phương pháp kiểm thử đề xuất:</t>
  </si>
  <si>
    <t>Bổ sung test case tính tiền chênh lệch (boundary: chênh = 0, âm, dương)</t>
  </si>
  <si>
    <t>11.2</t>
  </si>
  <si>
    <t>Kế hoạch xác nhận sau triển khai:</t>
  </si>
  <si>
    <t>Theo dõi tỷ lệ đổi/trả và doanh thu giữ lại 1 tháng sau go-live</t>
  </si>
  <si>
    <t>12.1</t>
  </si>
  <si>
    <t>Tên người phê duyệt:</t>
  </si>
  <si>
    <t>12.2</t>
  </si>
  <si>
    <t>Chức vụ:</t>
  </si>
  <si>
    <t>12.3</t>
  </si>
  <si>
    <t>Ngày phê duyệt:</t>
  </si>
  <si>
    <t>15/08/2026</t>
  </si>
  <si>
    <t>13.1</t>
  </si>
  <si>
    <t>Bước tiếp theo:</t>
  </si>
  <si>
    <t>Quyết định: HOÃN sang phiên bản 2; đưa vào backlog PBI-07</t>
  </si>
  <si>
    <t>14</t>
  </si>
  <si>
    <t>Ghi chú hoặc ý kiến thêm:</t>
  </si>
  <si>
    <t>Không làm trong phiên bản 1 để giữ mốc go-live</t>
  </si>
  <si>
    <t>REQUIREMENTS LIST - HƯỚNG DẪN SỬ DỤNG</t>
  </si>
  <si>
    <t>Dự án: Tính năng Trả hàng &amp; Hoàn tiền - Công ty Điện Máy Cam  |  Mã: RR-REQ-001  |  Phiên bản 1.0  |  Cập nhật: 21/08/2026  |  Người quản lý: Lê Văn Mạnh (BA)</t>
  </si>
  <si>
    <t>1 - Immediate</t>
  </si>
  <si>
    <t>2 - High</t>
  </si>
  <si>
    <t>3 - Moderate</t>
  </si>
  <si>
    <t>4 - Low</t>
  </si>
  <si>
    <t>5 - Prospective</t>
  </si>
  <si>
    <t>Interview - MOM-02</t>
  </si>
  <si>
    <t>Interview - MOM-04</t>
  </si>
  <si>
    <t>Workshop - MOM-07</t>
  </si>
  <si>
    <t>Interview - MOM-05</t>
  </si>
  <si>
    <t>Interview - MOM-06</t>
  </si>
  <si>
    <t>Interview - MOM-03</t>
  </si>
  <si>
    <t>Ngoài phạm vi v1 - phát sinh từ CR01, dời sang phiên bản 2</t>
  </si>
  <si>
    <t>Hoãn sang phiên bản 2 - xem sheet CR01</t>
  </si>
  <si>
    <t>CR01 - Phiếu yêu cầu thay đổi</t>
  </si>
  <si>
    <t>Tính năng Trả hàng &amp; Hoàn tiền - App/Web Điện Máy Cam</t>
  </si>
  <si>
    <t>Product Owner - Khối TMĐT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</si>
</sst>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Calibri"/>
      <family val="2"/>
      <charset val="1"/>
    </font>
    <font>
      <sz val="10"/>
      <name val="Arial"/>
      <family val="2"/>
    </font>
    <font>
      <b/>
      <sz val="15"/>
      <color rgb="FFC55A11"/>
      <name val="Arial"/>
      <family val="2"/>
    </font>
    <font>
      <i/>
      <sz val="9"/>
      <color rgb="FF595959"/>
      <name val="Arial"/>
      <family val="2"/>
    </font>
    <font>
      <b/>
      <sz val="11"/>
      <color rgb="FFFFFFFF"/>
      <name val="Arial"/>
      <family val="2"/>
    </font>
    <font>
      <b/>
      <sz val="10"/>
      <name val="Arial"/>
      <family val="2"/>
    </font>
    <font>
      <sz val="10"/>
      <name val="Arial"/>
      <family val="2"/>
    </font>
    <font>
      <b/>
      <sz val="14"/>
      <color rgb="FFC55A11"/>
      <name val="Arial"/>
      <family val="2"/>
    </font>
    <font>
      <b/>
      <sz val="11"/>
      <color rgb="FFC55A11"/>
      <name val="Arial"/>
      <family val="2"/>
    </font>
    <font>
      <b/>
      <sz val="10"/>
      <color rgb="FFFFFFFF"/>
      <name val="Arial"/>
      <family val="2"/>
    </font>
    <font>
      <b/>
      <sz val="10"/>
      <color rgb="FF0000FF"/>
      <name val="Arial"/>
      <family val="2"/>
    </font>
  </fonts>
  <fills count="5">
    <fill>
      <patternFill patternType="none"/>
    </fill>
    <fill>
      <patternFill patternType="gray125"/>
    </fill>
    <fill>
      <patternFill patternType="solid">
        <fgColor rgb="FFC55A11"/>
        <bgColor rgb="FF993300"/>
      </patternFill>
    </fill>
    <fill>
      <patternFill patternType="solid">
        <fgColor rgb="FFFBE5D6"/>
        <bgColor rgb="FFFFF2CC"/>
      </patternFill>
    </fill>
    <fill>
      <patternFill patternType="solid">
        <fgColor rgb="FFFFF2CC"/>
        <bgColor rgb="FFFBE5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5" fillId="0" borderId="0" xfId="0" applyFont="1"/>
    <xf numFmtId="0" fontId="6" fillId="0" borderId="0" xfId="0" applyFont="1" applyAlignment="1">
      <alignment vertical="top" wrapText="1"/>
    </xf>
    <xf numFmtId="0" fontId="6" fillId="0" borderId="1" xfId="0" applyFont="1" applyBorder="1" applyAlignment="1">
      <alignment vertical="top" wrapText="1"/>
    </xf>
    <xf numFmtId="0" fontId="5" fillId="3" borderId="1" xfId="0" applyFont="1" applyFill="1" applyBorder="1" applyAlignment="1">
      <alignment horizontal="center" vertical="center" wrapText="1"/>
    </xf>
    <xf numFmtId="0" fontId="4" fillId="2" borderId="1" xfId="0" applyFont="1" applyFill="1" applyBorder="1" applyAlignment="1">
      <alignment vertical="center" wrapText="1"/>
    </xf>
    <xf numFmtId="0" fontId="3" fillId="0" borderId="0" xfId="0" applyFont="1" applyAlignment="1">
      <alignment vertical="top" wrapText="1"/>
    </xf>
    <xf numFmtId="0" fontId="2" fillId="0" borderId="0" xfId="0" applyFont="1" applyAlignment="1">
      <alignment vertical="top" wrapText="1"/>
    </xf>
    <xf numFmtId="0" fontId="5" fillId="3" borderId="1" xfId="0" applyFont="1" applyFill="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0" xfId="0" applyFont="1"/>
    <xf numFmtId="0" fontId="3" fillId="0" borderId="0" xfId="0" applyFont="1"/>
    <xf numFmtId="0" fontId="8" fillId="0" borderId="0" xfId="0" applyFont="1"/>
    <xf numFmtId="0" fontId="9" fillId="2" borderId="1" xfId="0" applyFont="1" applyFill="1" applyBorder="1" applyAlignment="1">
      <alignment horizontal="center" vertical="center" wrapText="1"/>
    </xf>
    <xf numFmtId="0" fontId="6" fillId="0" borderId="1" xfId="0" applyFont="1" applyBorder="1"/>
    <xf numFmtId="0" fontId="6" fillId="0" borderId="1" xfId="0" applyFont="1" applyBorder="1" applyAlignment="1">
      <alignment horizontal="center"/>
    </xf>
    <xf numFmtId="0" fontId="5" fillId="0" borderId="1" xfId="0" applyFont="1" applyBorder="1" applyAlignment="1">
      <alignment horizontal="center"/>
    </xf>
    <xf numFmtId="0" fontId="5" fillId="0" borderId="1" xfId="0" applyFont="1" applyBorder="1"/>
    <xf numFmtId="0" fontId="6" fillId="0" borderId="0" xfId="0" applyFont="1"/>
    <xf numFmtId="0" fontId="10" fillId="4" borderId="1" xfId="0" applyFont="1" applyFill="1" applyBorder="1"/>
    <xf numFmtId="9" fontId="6" fillId="0" borderId="1" xfId="0" applyNumberFormat="1" applyFont="1" applyBorder="1" applyAlignment="1">
      <alignment horizontal="center"/>
    </xf>
    <xf numFmtId="0" fontId="6" fillId="0" borderId="1" xfId="0" applyFont="1" applyBorder="1" applyAlignment="1">
      <alignment horizontal="center" vertical="top" wrapText="1"/>
    </xf>
    <xf numFmtId="164" fontId="6" fillId="0" borderId="1" xfId="0" applyNumberFormat="1" applyFont="1" applyBorder="1" applyAlignment="1">
      <alignment horizontal="center" vertical="top" wrapText="1"/>
    </xf>
    <xf numFmtId="0" fontId="6" fillId="4" borderId="1" xfId="0" applyFont="1" applyFill="1" applyBorder="1" applyAlignment="1">
      <alignment vertical="top" wrapText="1"/>
    </xf>
    <xf numFmtId="0" fontId="6" fillId="4" borderId="1" xfId="0" applyFont="1" applyFill="1" applyBorder="1" applyAlignment="1">
      <alignment horizontal="center" vertical="top" wrapText="1"/>
    </xf>
    <xf numFmtId="164" fontId="6" fillId="4" borderId="1" xfId="0" applyNumberFormat="1" applyFont="1" applyFill="1" applyBorder="1" applyAlignment="1">
      <alignment horizontal="center" vertical="top" wrapText="1"/>
    </xf>
    <xf numFmtId="164" fontId="10" fillId="4" borderId="0" xfId="0" applyNumberFormat="1" applyFont="1" applyFill="1"/>
  </cellXfs>
  <cellStyles count="1">
    <cellStyle name="Normal" xfId="0" builtinId="0"/>
  </cellStyles>
  <dxfs count="26">
    <dxf>
      <fill>
        <patternFill>
          <bgColor rgb="FFFFFFFF"/>
        </patternFill>
      </fill>
    </dxf>
    <dxf>
      <fill>
        <patternFill>
          <bgColor rgb="FFF2F2F2"/>
        </patternFill>
      </fill>
    </dxf>
    <dxf>
      <fill>
        <patternFill>
          <bgColor rgb="FFFFC7CE"/>
        </patternFill>
      </fill>
    </dxf>
    <dxf>
      <fill>
        <patternFill>
          <bgColor rgb="FFFFEB9C"/>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DDEBF7"/>
        </patternFill>
      </fill>
    </dxf>
    <dxf>
      <fill>
        <patternFill>
          <bgColor rgb="FFFFEB9C"/>
        </patternFill>
      </fill>
    </dxf>
    <dxf>
      <fill>
        <patternFill>
          <bgColor rgb="FFFFFFFF"/>
        </patternFill>
      </fill>
    </dxf>
    <dxf>
      <fill>
        <patternFill>
          <bgColor rgb="FFF2F2F2"/>
        </patternFill>
      </fill>
    </dxf>
    <dxf>
      <fill>
        <patternFill>
          <bgColor rgb="FFFFC7CE"/>
        </patternFill>
      </fill>
    </dxf>
    <dxf>
      <fill>
        <patternFill>
          <bgColor rgb="FFFFEB9C"/>
        </patternFill>
      </fill>
    </dxf>
    <dxf>
      <fill>
        <patternFill>
          <bgColor rgb="FFC6EFCE"/>
        </patternFill>
      </fill>
    </dxf>
    <dxf>
      <font>
        <b/>
        <color rgb="FF9C0006"/>
        <name val="Arial"/>
        <charset val="1"/>
      </font>
      <fill>
        <patternFill>
          <bgColor rgb="FFFFC7CE"/>
        </patternFill>
      </fill>
    </dxf>
    <dxf>
      <fill>
        <patternFill>
          <bgColor rgb="FFFFEB9C"/>
        </patternFill>
      </fill>
    </dxf>
    <dxf>
      <fill>
        <patternFill>
          <bgColor rgb="FFF2F2F2"/>
        </patternFill>
      </fill>
    </dxf>
    <dxf>
      <fill>
        <patternFill>
          <bgColor rgb="FFE4DFEC"/>
        </patternFill>
      </fill>
    </dxf>
    <dxf>
      <fill>
        <patternFill>
          <bgColor rgb="FFC6EFCE"/>
        </patternFill>
      </fill>
    </dxf>
    <dxf>
      <fill>
        <patternFill>
          <bgColor rgb="FFDDEBF7"/>
        </patternFill>
      </fill>
    </dxf>
    <dxf>
      <fill>
        <patternFill>
          <bgColor rgb="FFFFFFFF"/>
        </patternFill>
      </fill>
    </dxf>
    <dxf>
      <fill>
        <patternFill>
          <bgColor rgb="FFF2F2F2"/>
        </patternFill>
      </fill>
    </dxf>
    <dxf>
      <fill>
        <patternFill>
          <bgColor rgb="FFFFC7CE"/>
        </patternFill>
      </fill>
    </dxf>
    <dxf>
      <fill>
        <patternFill>
          <bgColor rgb="FFFFEB9C"/>
        </patternFill>
      </fill>
    </dxf>
    <dxf>
      <fill>
        <patternFill>
          <bgColor rgb="FFC6EF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BE5D6"/>
      <rgbColor rgb="FFCC99FF"/>
      <rgbColor rgb="FFFFC7CE"/>
      <rgbColor rgb="FF3366FF"/>
      <rgbColor rgb="FF33CCCC"/>
      <rgbColor rgb="FF99CC00"/>
      <rgbColor rgb="FFFFCC00"/>
      <rgbColor rgb="FFFF9900"/>
      <rgbColor rgb="FFC55A11"/>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32"/>
  <sheetViews>
    <sheetView showGridLines="0" zoomScaleNormal="100" workbookViewId="0">
      <selection activeCell="F7" sqref="F7"/>
    </sheetView>
  </sheetViews>
  <sheetFormatPr defaultColWidth="8.6640625" defaultRowHeight="14.4" x14ac:dyDescent="0.3"/>
  <cols>
    <col min="1" max="1" width="2" customWidth="1"/>
    <col min="2" max="2" width="24" customWidth="1"/>
    <col min="3" max="3" width="18" customWidth="1"/>
    <col min="4" max="4" width="70" customWidth="1"/>
  </cols>
  <sheetData>
    <row r="1" spans="2:4" ht="25.5" customHeight="1" x14ac:dyDescent="0.3">
      <c r="B1" s="7" t="s">
        <v>403</v>
      </c>
      <c r="C1" s="7"/>
      <c r="D1" s="7"/>
    </row>
    <row r="2" spans="2:4" ht="22.35" customHeight="1" x14ac:dyDescent="0.3">
      <c r="B2" s="6" t="s">
        <v>404</v>
      </c>
      <c r="C2" s="6"/>
      <c r="D2" s="6"/>
    </row>
    <row r="5" spans="2:4" ht="21.75" customHeight="1" x14ac:dyDescent="0.3">
      <c r="B5" s="5" t="s">
        <v>0</v>
      </c>
      <c r="C5" s="5"/>
      <c r="D5" s="5"/>
    </row>
    <row r="6" spans="2:4" ht="17.25" customHeight="1" x14ac:dyDescent="0.3">
      <c r="B6" s="8" t="s">
        <v>1</v>
      </c>
      <c r="C6" s="4" t="s">
        <v>2</v>
      </c>
      <c r="D6" s="4"/>
    </row>
    <row r="7" spans="2:4" ht="17.25" customHeight="1" x14ac:dyDescent="0.3">
      <c r="B7" s="9" t="s">
        <v>3</v>
      </c>
      <c r="C7" s="3" t="s">
        <v>4</v>
      </c>
      <c r="D7" s="3"/>
    </row>
    <row r="8" spans="2:4" ht="17.25" customHeight="1" x14ac:dyDescent="0.3">
      <c r="B8" s="9" t="s">
        <v>5</v>
      </c>
      <c r="C8" s="3" t="s">
        <v>6</v>
      </c>
      <c r="D8" s="3"/>
    </row>
    <row r="9" spans="2:4" ht="17.25" customHeight="1" x14ac:dyDescent="0.3">
      <c r="B9" s="9" t="s">
        <v>7</v>
      </c>
      <c r="C9" s="3" t="s">
        <v>8</v>
      </c>
      <c r="D9" s="3"/>
    </row>
    <row r="10" spans="2:4" ht="17.25" customHeight="1" x14ac:dyDescent="0.3">
      <c r="B10" s="9" t="s">
        <v>9</v>
      </c>
      <c r="C10" s="3" t="s">
        <v>10</v>
      </c>
      <c r="D10" s="3"/>
    </row>
    <row r="11" spans="2:4" ht="17.25" customHeight="1" x14ac:dyDescent="0.3">
      <c r="B11" s="9" t="s">
        <v>11</v>
      </c>
      <c r="C11" s="3" t="s">
        <v>12</v>
      </c>
      <c r="D11" s="3"/>
    </row>
    <row r="12" spans="2:4" ht="17.25" customHeight="1" x14ac:dyDescent="0.3">
      <c r="B12" s="9" t="s">
        <v>13</v>
      </c>
      <c r="C12" s="3" t="s">
        <v>14</v>
      </c>
      <c r="D12" s="3"/>
    </row>
    <row r="13" spans="2:4" ht="17.25" customHeight="1" x14ac:dyDescent="0.3">
      <c r="B13" s="9" t="s">
        <v>15</v>
      </c>
      <c r="C13" s="3" t="s">
        <v>16</v>
      </c>
      <c r="D13" s="3"/>
    </row>
    <row r="15" spans="2:4" ht="21.75" customHeight="1" x14ac:dyDescent="0.3">
      <c r="B15" s="5" t="s">
        <v>17</v>
      </c>
      <c r="C15" s="5"/>
      <c r="D15" s="5"/>
    </row>
    <row r="16" spans="2:4" ht="17.25" customHeight="1" x14ac:dyDescent="0.3">
      <c r="B16" s="8" t="s">
        <v>18</v>
      </c>
      <c r="C16" s="4" t="s">
        <v>19</v>
      </c>
      <c r="D16" s="4"/>
    </row>
    <row r="17" spans="2:4" ht="17.25" customHeight="1" x14ac:dyDescent="0.3">
      <c r="B17" s="9" t="s">
        <v>405</v>
      </c>
      <c r="C17" s="3" t="s">
        <v>20</v>
      </c>
      <c r="D17" s="3"/>
    </row>
    <row r="18" spans="2:4" ht="17.25" customHeight="1" x14ac:dyDescent="0.3">
      <c r="B18" s="9" t="s">
        <v>406</v>
      </c>
      <c r="C18" s="3" t="s">
        <v>21</v>
      </c>
      <c r="D18" s="3"/>
    </row>
    <row r="19" spans="2:4" ht="17.25" customHeight="1" x14ac:dyDescent="0.3">
      <c r="B19" s="9" t="s">
        <v>407</v>
      </c>
      <c r="C19" s="3" t="s">
        <v>22</v>
      </c>
      <c r="D19" s="3"/>
    </row>
    <row r="20" spans="2:4" ht="17.25" customHeight="1" x14ac:dyDescent="0.3">
      <c r="B20" s="9" t="s">
        <v>408</v>
      </c>
      <c r="C20" s="3" t="s">
        <v>23</v>
      </c>
      <c r="D20" s="3"/>
    </row>
    <row r="21" spans="2:4" ht="17.25" customHeight="1" x14ac:dyDescent="0.3">
      <c r="B21" s="9" t="s">
        <v>409</v>
      </c>
      <c r="C21" s="3" t="s">
        <v>24</v>
      </c>
      <c r="D21" s="3"/>
    </row>
    <row r="23" spans="2:4" ht="21.75" customHeight="1" x14ac:dyDescent="0.3">
      <c r="B23" s="5" t="s">
        <v>25</v>
      </c>
      <c r="C23" s="5"/>
      <c r="D23" s="5"/>
    </row>
    <row r="24" spans="2:4" ht="17.25" customHeight="1" x14ac:dyDescent="0.3">
      <c r="B24" s="8" t="s">
        <v>18</v>
      </c>
      <c r="C24" s="4" t="s">
        <v>19</v>
      </c>
      <c r="D24" s="4"/>
    </row>
    <row r="25" spans="2:4" ht="17.25" customHeight="1" x14ac:dyDescent="0.3">
      <c r="B25" s="9" t="s">
        <v>26</v>
      </c>
      <c r="C25" s="3" t="s">
        <v>27</v>
      </c>
      <c r="D25" s="3"/>
    </row>
    <row r="26" spans="2:4" ht="17.25" customHeight="1" x14ac:dyDescent="0.3">
      <c r="B26" s="9" t="s">
        <v>28</v>
      </c>
      <c r="C26" s="3" t="s">
        <v>29</v>
      </c>
      <c r="D26" s="3"/>
    </row>
    <row r="27" spans="2:4" ht="17.25" customHeight="1" x14ac:dyDescent="0.3">
      <c r="B27" s="9" t="s">
        <v>30</v>
      </c>
      <c r="C27" s="3" t="s">
        <v>31</v>
      </c>
      <c r="D27" s="3"/>
    </row>
    <row r="28" spans="2:4" ht="17.25" customHeight="1" x14ac:dyDescent="0.3">
      <c r="B28" s="9" t="s">
        <v>32</v>
      </c>
      <c r="C28" s="3" t="s">
        <v>33</v>
      </c>
      <c r="D28" s="3"/>
    </row>
    <row r="29" spans="2:4" ht="17.25" customHeight="1" x14ac:dyDescent="0.3">
      <c r="B29" s="9" t="s">
        <v>34</v>
      </c>
      <c r="C29" s="3" t="s">
        <v>35</v>
      </c>
      <c r="D29" s="3"/>
    </row>
    <row r="31" spans="2:4" ht="21.75" customHeight="1" x14ac:dyDescent="0.3">
      <c r="B31" s="5" t="s">
        <v>36</v>
      </c>
      <c r="C31" s="5"/>
      <c r="D31" s="5"/>
    </row>
    <row r="32" spans="2:4" ht="30.75" customHeight="1" x14ac:dyDescent="0.3">
      <c r="B32" s="2" t="s">
        <v>37</v>
      </c>
      <c r="C32" s="2"/>
      <c r="D32" s="2"/>
    </row>
  </sheetData>
  <mergeCells count="27">
    <mergeCell ref="B31:D31"/>
    <mergeCell ref="B32:D32"/>
    <mergeCell ref="C25:D25"/>
    <mergeCell ref="C26:D26"/>
    <mergeCell ref="C27:D27"/>
    <mergeCell ref="C28:D28"/>
    <mergeCell ref="C29:D29"/>
    <mergeCell ref="C19:D19"/>
    <mergeCell ref="C20:D20"/>
    <mergeCell ref="C21:D21"/>
    <mergeCell ref="B23:D23"/>
    <mergeCell ref="C24:D24"/>
    <mergeCell ref="C13:D13"/>
    <mergeCell ref="B15:D15"/>
    <mergeCell ref="C16:D16"/>
    <mergeCell ref="C17:D17"/>
    <mergeCell ref="C18:D18"/>
    <mergeCell ref="C8:D8"/>
    <mergeCell ref="C9:D9"/>
    <mergeCell ref="C10:D10"/>
    <mergeCell ref="C11:D11"/>
    <mergeCell ref="C12:D12"/>
    <mergeCell ref="B1:D1"/>
    <mergeCell ref="B2:D2"/>
    <mergeCell ref="B5:D5"/>
    <mergeCell ref="C6:D6"/>
    <mergeCell ref="C7:D7"/>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36"/>
  <sheetViews>
    <sheetView showGridLines="0" zoomScaleNormal="100" workbookViewId="0">
      <selection activeCell="D32" sqref="D32"/>
    </sheetView>
  </sheetViews>
  <sheetFormatPr defaultColWidth="8.6640625" defaultRowHeight="14.4" x14ac:dyDescent="0.3"/>
  <cols>
    <col min="1" max="1" width="26" customWidth="1"/>
    <col min="2" max="6" width="10" customWidth="1"/>
    <col min="7" max="8" width="4" customWidth="1"/>
  </cols>
  <sheetData>
    <row r="1" spans="1:6" ht="17.399999999999999" x14ac:dyDescent="0.3">
      <c r="A1" s="11" t="s">
        <v>38</v>
      </c>
    </row>
    <row r="2" spans="1:6" x14ac:dyDescent="0.3">
      <c r="A2" s="12" t="s">
        <v>404</v>
      </c>
    </row>
    <row r="4" spans="1:6" x14ac:dyDescent="0.3">
      <c r="A4" s="13" t="s">
        <v>39</v>
      </c>
    </row>
    <row r="5" spans="1:6" x14ac:dyDescent="0.3">
      <c r="A5" s="14" t="s">
        <v>40</v>
      </c>
      <c r="B5" s="14" t="s">
        <v>41</v>
      </c>
      <c r="C5" s="14" t="s">
        <v>42</v>
      </c>
      <c r="D5" s="14" t="s">
        <v>43</v>
      </c>
    </row>
    <row r="6" spans="1:6" x14ac:dyDescent="0.3">
      <c r="A6" s="15" t="s">
        <v>405</v>
      </c>
      <c r="B6" s="16">
        <f>COUNTIFS(RequirementsList!$I$5:$I$200,1,RequirementsList!$A$5:$A$200,"FR*")</f>
        <v>13</v>
      </c>
      <c r="C6" s="16">
        <f>COUNTIFS(RequirementsList!$I$5:$I$200,1,RequirementsList!$A$5:$A$200,"NFR*")</f>
        <v>7</v>
      </c>
      <c r="D6" s="17">
        <f>B6+C6</f>
        <v>20</v>
      </c>
    </row>
    <row r="7" spans="1:6" x14ac:dyDescent="0.3">
      <c r="A7" s="15" t="s">
        <v>406</v>
      </c>
      <c r="B7" s="16">
        <f>COUNTIFS(RequirementsList!$I$5:$I$200,2,RequirementsList!$A$5:$A$200,"FR*")</f>
        <v>1</v>
      </c>
      <c r="C7" s="16">
        <f>COUNTIFS(RequirementsList!$I$5:$I$200,2,RequirementsList!$A$5:$A$200,"NFR*")</f>
        <v>0</v>
      </c>
      <c r="D7" s="17">
        <f>B7+C7</f>
        <v>1</v>
      </c>
    </row>
    <row r="8" spans="1:6" x14ac:dyDescent="0.3">
      <c r="A8" s="15" t="s">
        <v>407</v>
      </c>
      <c r="B8" s="16">
        <f>COUNTIFS(RequirementsList!$I$5:$I$200,3,RequirementsList!$A$5:$A$200,"FR*")</f>
        <v>0</v>
      </c>
      <c r="C8" s="16">
        <f>COUNTIFS(RequirementsList!$I$5:$I$200,3,RequirementsList!$A$5:$A$200,"NFR*")</f>
        <v>0</v>
      </c>
      <c r="D8" s="17">
        <f>B8+C8</f>
        <v>0</v>
      </c>
    </row>
    <row r="9" spans="1:6" x14ac:dyDescent="0.3">
      <c r="A9" s="15" t="s">
        <v>408</v>
      </c>
      <c r="B9" s="16">
        <f>COUNTIFS(RequirementsList!$I$5:$I$200,4,RequirementsList!$A$5:$A$200,"FR*")</f>
        <v>0</v>
      </c>
      <c r="C9" s="16">
        <f>COUNTIFS(RequirementsList!$I$5:$I$200,4,RequirementsList!$A$5:$A$200,"NFR*")</f>
        <v>0</v>
      </c>
      <c r="D9" s="17">
        <f>B9+C9</f>
        <v>0</v>
      </c>
    </row>
    <row r="10" spans="1:6" x14ac:dyDescent="0.3">
      <c r="A10" s="15" t="s">
        <v>409</v>
      </c>
      <c r="B10" s="16">
        <f>COUNTIFS(RequirementsList!$I$5:$I$200,5,RequirementsList!$A$5:$A$200,"FR*")</f>
        <v>0</v>
      </c>
      <c r="C10" s="16">
        <f>COUNTIFS(RequirementsList!$I$5:$I$200,5,RequirementsList!$A$5:$A$200,"NFR*")</f>
        <v>0</v>
      </c>
      <c r="D10" s="17">
        <f>B10+C10</f>
        <v>0</v>
      </c>
    </row>
    <row r="11" spans="1:6" x14ac:dyDescent="0.3">
      <c r="A11" s="18" t="s">
        <v>43</v>
      </c>
      <c r="B11" s="17">
        <f>SUM(B6:B10)</f>
        <v>14</v>
      </c>
      <c r="C11" s="17">
        <f>SUM(C6:C10)</f>
        <v>7</v>
      </c>
      <c r="D11" s="17">
        <f>SUM(D6:D10)</f>
        <v>21</v>
      </c>
    </row>
    <row r="13" spans="1:6" x14ac:dyDescent="0.3">
      <c r="A13" s="13" t="s">
        <v>44</v>
      </c>
    </row>
    <row r="14" spans="1:6" ht="26.4" x14ac:dyDescent="0.3">
      <c r="A14" s="14" t="s">
        <v>45</v>
      </c>
      <c r="B14" s="14" t="s">
        <v>30</v>
      </c>
      <c r="C14" s="14" t="s">
        <v>28</v>
      </c>
      <c r="D14" s="14" t="s">
        <v>26</v>
      </c>
      <c r="E14" s="14" t="s">
        <v>32</v>
      </c>
      <c r="F14" s="14" t="s">
        <v>34</v>
      </c>
    </row>
    <row r="15" spans="1:6" x14ac:dyDescent="0.3">
      <c r="A15" s="15" t="s">
        <v>46</v>
      </c>
      <c r="B15" s="16">
        <f>COUNTIF(RequirementsList!$L$5:$L$200,"Done")</f>
        <v>16</v>
      </c>
      <c r="C15" s="16">
        <f>COUNTIF(RequirementsList!$L$5:$L$200,"In progress")</f>
        <v>5</v>
      </c>
      <c r="D15" s="16">
        <f>COUNTIF(RequirementsList!$L$5:$L$200,"New")</f>
        <v>0</v>
      </c>
      <c r="E15" s="16">
        <f>COUNTIF(RequirementsList!$L$5:$L$200,"Blocked")</f>
        <v>0</v>
      </c>
      <c r="F15" s="16">
        <f>COUNTIF(RequirementsList!$L$5:$L$200,"N/A")</f>
        <v>0</v>
      </c>
    </row>
    <row r="16" spans="1:6" x14ac:dyDescent="0.3">
      <c r="A16" s="15" t="s">
        <v>47</v>
      </c>
      <c r="B16" s="16">
        <f>COUNTIF(RequirementsList!$M$5:$M$200,"Done")</f>
        <v>0</v>
      </c>
      <c r="C16" s="16">
        <f>COUNTIF(RequirementsList!$M$5:$M$200,"In progress")</f>
        <v>0</v>
      </c>
      <c r="D16" s="16">
        <f>COUNTIF(RequirementsList!$M$5:$M$200,"New")</f>
        <v>9</v>
      </c>
      <c r="E16" s="16">
        <f>COUNTIF(RequirementsList!$M$5:$M$200,"Blocked")</f>
        <v>0</v>
      </c>
      <c r="F16" s="16">
        <f>COUNTIF(RequirementsList!$M$5:$M$200,"N/A")</f>
        <v>12</v>
      </c>
    </row>
    <row r="17" spans="1:6" x14ac:dyDescent="0.3">
      <c r="A17" s="15" t="s">
        <v>48</v>
      </c>
      <c r="B17" s="16">
        <f>COUNTIF(RequirementsList!$N$5:$N$200,"Done")</f>
        <v>0</v>
      </c>
      <c r="C17" s="16">
        <f>COUNTIF(RequirementsList!$N$5:$N$200,"In progress")</f>
        <v>0</v>
      </c>
      <c r="D17" s="16">
        <f>COUNTIF(RequirementsList!$N$5:$N$200,"New")</f>
        <v>21</v>
      </c>
      <c r="E17" s="16">
        <f>COUNTIF(RequirementsList!$N$5:$N$200,"Blocked")</f>
        <v>0</v>
      </c>
      <c r="F17" s="16">
        <f>COUNTIF(RequirementsList!$N$5:$N$200,"N/A")</f>
        <v>0</v>
      </c>
    </row>
    <row r="18" spans="1:6" x14ac:dyDescent="0.3">
      <c r="A18" s="15" t="s">
        <v>49</v>
      </c>
      <c r="B18" s="16">
        <f>COUNTIF(RequirementsList!$O$5:$O$200,"Done")</f>
        <v>0</v>
      </c>
      <c r="C18" s="16">
        <f>COUNTIF(RequirementsList!$O$5:$O$200,"In progress")</f>
        <v>0</v>
      </c>
      <c r="D18" s="16">
        <f>COUNTIF(RequirementsList!$O$5:$O$200,"New")</f>
        <v>4</v>
      </c>
      <c r="E18" s="16">
        <f>COUNTIF(RequirementsList!$O$5:$O$200,"Blocked")</f>
        <v>0</v>
      </c>
      <c r="F18" s="16">
        <f>COUNTIF(RequirementsList!$O$5:$O$200,"N/A")</f>
        <v>17</v>
      </c>
    </row>
    <row r="19" spans="1:6" x14ac:dyDescent="0.3">
      <c r="A19" s="15" t="s">
        <v>50</v>
      </c>
      <c r="B19" s="16">
        <f>COUNTIF(RequirementsList!$P$5:$P$200,"Done")</f>
        <v>0</v>
      </c>
      <c r="C19" s="16">
        <f>COUNTIF(RequirementsList!$P$5:$P$200,"In progress")</f>
        <v>0</v>
      </c>
      <c r="D19" s="16">
        <f>COUNTIF(RequirementsList!$P$5:$P$200,"New")</f>
        <v>5</v>
      </c>
      <c r="E19" s="16">
        <f>COUNTIF(RequirementsList!$P$5:$P$200,"Blocked")</f>
        <v>0</v>
      </c>
      <c r="F19" s="16">
        <f>COUNTIF(RequirementsList!$P$5:$P$200,"N/A")</f>
        <v>16</v>
      </c>
    </row>
    <row r="20" spans="1:6" x14ac:dyDescent="0.3">
      <c r="A20" s="15" t="s">
        <v>51</v>
      </c>
      <c r="B20" s="16">
        <f>COUNTIF(RequirementsList!$Q$5:$Q$200,"Done")</f>
        <v>0</v>
      </c>
      <c r="C20" s="16">
        <f>COUNTIF(RequirementsList!$Q$5:$Q$200,"In progress")</f>
        <v>0</v>
      </c>
      <c r="D20" s="16">
        <f>COUNTIF(RequirementsList!$Q$5:$Q$200,"New")</f>
        <v>21</v>
      </c>
      <c r="E20" s="16">
        <f>COUNTIF(RequirementsList!$Q$5:$Q$200,"Blocked")</f>
        <v>0</v>
      </c>
      <c r="F20" s="16">
        <f>COUNTIF(RequirementsList!$Q$5:$Q$200,"N/A")</f>
        <v>0</v>
      </c>
    </row>
    <row r="21" spans="1:6" x14ac:dyDescent="0.3">
      <c r="A21" s="15" t="s">
        <v>52</v>
      </c>
      <c r="B21" s="16">
        <f>COUNTIF(RequirementsList!$R$5:$R$200,"Done")</f>
        <v>0</v>
      </c>
      <c r="C21" s="16">
        <f>COUNTIF(RequirementsList!$R$5:$R$200,"In progress")</f>
        <v>0</v>
      </c>
      <c r="D21" s="16">
        <f>COUNTIF(RequirementsList!$R$5:$R$200,"New")</f>
        <v>21</v>
      </c>
      <c r="E21" s="16">
        <f>COUNTIF(RequirementsList!$R$5:$R$200,"Blocked")</f>
        <v>0</v>
      </c>
      <c r="F21" s="16">
        <f>COUNTIF(RequirementsList!$R$5:$R$200,"N/A")</f>
        <v>0</v>
      </c>
    </row>
    <row r="23" spans="1:6" x14ac:dyDescent="0.3">
      <c r="A23" s="13" t="s">
        <v>53</v>
      </c>
    </row>
    <row r="24" spans="1:6" x14ac:dyDescent="0.3">
      <c r="A24" s="19" t="s">
        <v>54</v>
      </c>
      <c r="B24" s="20">
        <v>20</v>
      </c>
    </row>
    <row r="25" spans="1:6" ht="26.4" x14ac:dyDescent="0.3">
      <c r="A25" s="14" t="s">
        <v>55</v>
      </c>
      <c r="B25" s="14" t="s">
        <v>56</v>
      </c>
      <c r="C25" s="14" t="s">
        <v>57</v>
      </c>
      <c r="D25" s="14" t="s">
        <v>58</v>
      </c>
    </row>
    <row r="26" spans="1:6" x14ac:dyDescent="0.3">
      <c r="A26" s="15" t="s">
        <v>59</v>
      </c>
      <c r="B26" s="16">
        <f>COUNTIF('User Stories'!$L$5:$L$200,A26)</f>
        <v>2</v>
      </c>
      <c r="C26" s="16">
        <f>SUMIF('User Stories'!$L$5:$L$200,A26,'User Stories'!$K$5:$K$200)</f>
        <v>13</v>
      </c>
      <c r="D26" s="21">
        <f>IFERROR(C26/$B$24,0)</f>
        <v>0.65</v>
      </c>
    </row>
    <row r="27" spans="1:6" x14ac:dyDescent="0.3">
      <c r="A27" s="15" t="s">
        <v>60</v>
      </c>
      <c r="B27" s="16">
        <f>COUNTIF('User Stories'!$L$5:$L$200,A27)</f>
        <v>3</v>
      </c>
      <c r="C27" s="16">
        <f>SUMIF('User Stories'!$L$5:$L$200,A27,'User Stories'!$K$5:$K$200)</f>
        <v>13</v>
      </c>
      <c r="D27" s="21">
        <f>IFERROR(C27/$B$24,0)</f>
        <v>0.65</v>
      </c>
    </row>
    <row r="28" spans="1:6" x14ac:dyDescent="0.3">
      <c r="A28" s="15" t="s">
        <v>61</v>
      </c>
      <c r="B28" s="16">
        <f>COUNTIF('User Stories'!$L$5:$L$200,A28)</f>
        <v>1</v>
      </c>
      <c r="C28" s="16">
        <f>SUMIF('User Stories'!$L$5:$L$200,A28,'User Stories'!$K$5:$K$200)</f>
        <v>8</v>
      </c>
      <c r="D28" s="21">
        <f>IFERROR(C28/$B$24,0)</f>
        <v>0.4</v>
      </c>
    </row>
    <row r="29" spans="1:6" x14ac:dyDescent="0.3">
      <c r="A29" s="18" t="s">
        <v>43</v>
      </c>
      <c r="B29" s="17">
        <f>SUM(B26:B28)</f>
        <v>6</v>
      </c>
      <c r="C29" s="17">
        <f>SUM(C26:C28)</f>
        <v>34</v>
      </c>
    </row>
    <row r="31" spans="1:6" x14ac:dyDescent="0.3">
      <c r="A31" s="13" t="s">
        <v>62</v>
      </c>
    </row>
    <row r="32" spans="1:6" x14ac:dyDescent="0.3">
      <c r="A32" s="15" t="s">
        <v>63</v>
      </c>
      <c r="B32" s="16">
        <f>COUNTIF('Open Questions'!$I$5:$I$200,"Mở")</f>
        <v>4</v>
      </c>
    </row>
    <row r="33" spans="1:2" x14ac:dyDescent="0.3">
      <c r="A33" s="15" t="s">
        <v>64</v>
      </c>
      <c r="B33" s="16">
        <f>COUNTIF('Open Questions'!$M$5:$M$200,"Quá hạn")</f>
        <v>0</v>
      </c>
    </row>
    <row r="34" spans="1:2" x14ac:dyDescent="0.3">
      <c r="A34" s="15" t="s">
        <v>65</v>
      </c>
      <c r="B34" s="16">
        <f>COUNTA('CR management'!$B$5:$B$200)</f>
        <v>1</v>
      </c>
    </row>
    <row r="35" spans="1:2" x14ac:dyDescent="0.3">
      <c r="A35" s="15" t="s">
        <v>66</v>
      </c>
      <c r="B35" s="16">
        <f>COUNTIF(RTM!$J$5:$J$18,"Thiếu")</f>
        <v>0</v>
      </c>
    </row>
    <row r="36" spans="1:2" x14ac:dyDescent="0.3">
      <c r="A36" s="15" t="s">
        <v>67</v>
      </c>
      <c r="B36" s="16">
        <f>COUNTIF(RTM!$F$5:$F$18,"—")</f>
        <v>0</v>
      </c>
    </row>
  </sheetData>
  <conditionalFormatting sqref="D26:D28">
    <cfRule type="cellIs" dxfId="25" priority="2" operator="greaterThan">
      <formula>1</formula>
    </cfRule>
  </conditionalFormatting>
  <pageMargins left="0.75" right="0.75" top="1" bottom="1" header="0.511811023622047" footer="0.511811023622047"/>
  <pageSetup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25"/>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640625" defaultRowHeight="14.4" x14ac:dyDescent="0.3"/>
  <cols>
    <col min="1" max="1" width="8" customWidth="1"/>
    <col min="2" max="2" width="13" customWidth="1"/>
    <col min="3" max="3" width="18" customWidth="1"/>
    <col min="4" max="4" width="22" customWidth="1"/>
    <col min="5" max="5" width="44" customWidth="1"/>
    <col min="6" max="6" width="15" customWidth="1"/>
    <col min="7" max="7" width="17" customWidth="1"/>
    <col min="8" max="8" width="11" customWidth="1"/>
    <col min="9" max="10" width="8" customWidth="1"/>
    <col min="11" max="11" width="18" customWidth="1"/>
    <col min="12" max="12" width="10" customWidth="1"/>
    <col min="13" max="13" width="11" customWidth="1"/>
    <col min="14" max="18" width="9" customWidth="1"/>
    <col min="19" max="19" width="10" customWidth="1"/>
    <col min="20" max="20" width="9" customWidth="1"/>
  </cols>
  <sheetData>
    <row r="1" spans="1:20" ht="17.399999999999999" x14ac:dyDescent="0.3">
      <c r="A1" s="11" t="s">
        <v>68</v>
      </c>
    </row>
    <row r="2" spans="1:20" x14ac:dyDescent="0.3">
      <c r="A2" s="12" t="s">
        <v>404</v>
      </c>
    </row>
    <row r="4" spans="1:20" ht="31.5" customHeight="1" x14ac:dyDescent="0.3">
      <c r="A4" s="14" t="s">
        <v>69</v>
      </c>
      <c r="B4" s="14" t="s">
        <v>70</v>
      </c>
      <c r="C4" s="14" t="s">
        <v>71</v>
      </c>
      <c r="D4" s="14" t="s">
        <v>72</v>
      </c>
      <c r="E4" s="14" t="s">
        <v>73</v>
      </c>
      <c r="F4" s="14" t="s">
        <v>74</v>
      </c>
      <c r="G4" s="14" t="s">
        <v>75</v>
      </c>
      <c r="H4" s="14" t="s">
        <v>76</v>
      </c>
      <c r="I4" s="14" t="s">
        <v>40</v>
      </c>
      <c r="J4" s="14" t="s">
        <v>77</v>
      </c>
      <c r="K4" s="14" t="s">
        <v>78</v>
      </c>
      <c r="L4" s="14" t="s">
        <v>46</v>
      </c>
      <c r="M4" s="14" t="s">
        <v>47</v>
      </c>
      <c r="N4" s="14" t="s">
        <v>48</v>
      </c>
      <c r="O4" s="14" t="s">
        <v>49</v>
      </c>
      <c r="P4" s="14" t="s">
        <v>50</v>
      </c>
      <c r="Q4" s="14" t="s">
        <v>51</v>
      </c>
      <c r="R4" s="14" t="s">
        <v>52</v>
      </c>
      <c r="S4" s="14" t="s">
        <v>79</v>
      </c>
      <c r="T4" s="14" t="s">
        <v>80</v>
      </c>
    </row>
    <row r="5" spans="1:20" ht="26.4" x14ac:dyDescent="0.3">
      <c r="A5" s="22" t="s">
        <v>81</v>
      </c>
      <c r="B5" s="10" t="s">
        <v>50</v>
      </c>
      <c r="C5" s="10" t="s">
        <v>82</v>
      </c>
      <c r="D5" s="10" t="s">
        <v>83</v>
      </c>
      <c r="E5" s="10" t="s">
        <v>84</v>
      </c>
      <c r="F5" s="10" t="s">
        <v>85</v>
      </c>
      <c r="G5" s="10" t="s">
        <v>410</v>
      </c>
      <c r="H5" s="23">
        <v>46240</v>
      </c>
      <c r="I5" s="22">
        <v>1</v>
      </c>
      <c r="J5" s="22" t="s">
        <v>26</v>
      </c>
      <c r="K5" s="24" t="s">
        <v>86</v>
      </c>
      <c r="L5" s="25" t="s">
        <v>28</v>
      </c>
      <c r="M5" s="25" t="s">
        <v>26</v>
      </c>
      <c r="N5" s="25" t="s">
        <v>26</v>
      </c>
      <c r="O5" s="25" t="s">
        <v>34</v>
      </c>
      <c r="P5" s="25" t="s">
        <v>26</v>
      </c>
      <c r="Q5" s="25" t="s">
        <v>26</v>
      </c>
      <c r="R5" s="25" t="s">
        <v>26</v>
      </c>
      <c r="S5" s="26"/>
      <c r="T5" s="25"/>
    </row>
    <row r="6" spans="1:20" ht="26.4" x14ac:dyDescent="0.3">
      <c r="A6" s="22" t="s">
        <v>87</v>
      </c>
      <c r="B6" s="10" t="s">
        <v>50</v>
      </c>
      <c r="C6" s="10" t="s">
        <v>82</v>
      </c>
      <c r="D6" s="10" t="s">
        <v>88</v>
      </c>
      <c r="E6" s="10" t="s">
        <v>89</v>
      </c>
      <c r="F6" s="10" t="s">
        <v>85</v>
      </c>
      <c r="G6" s="10" t="s">
        <v>410</v>
      </c>
      <c r="H6" s="23">
        <v>46240</v>
      </c>
      <c r="I6" s="22">
        <v>1</v>
      </c>
      <c r="J6" s="22" t="s">
        <v>26</v>
      </c>
      <c r="K6" s="24"/>
      <c r="L6" s="25" t="s">
        <v>30</v>
      </c>
      <c r="M6" s="25" t="s">
        <v>26</v>
      </c>
      <c r="N6" s="25" t="s">
        <v>26</v>
      </c>
      <c r="O6" s="25" t="s">
        <v>34</v>
      </c>
      <c r="P6" s="25" t="s">
        <v>26</v>
      </c>
      <c r="Q6" s="25" t="s">
        <v>26</v>
      </c>
      <c r="R6" s="25" t="s">
        <v>26</v>
      </c>
      <c r="S6" s="26"/>
      <c r="T6" s="25"/>
    </row>
    <row r="7" spans="1:20" ht="26.4" x14ac:dyDescent="0.3">
      <c r="A7" s="22" t="s">
        <v>90</v>
      </c>
      <c r="B7" s="10" t="s">
        <v>50</v>
      </c>
      <c r="C7" s="10" t="s">
        <v>82</v>
      </c>
      <c r="D7" s="10" t="s">
        <v>91</v>
      </c>
      <c r="E7" s="10" t="s">
        <v>92</v>
      </c>
      <c r="F7" s="10" t="s">
        <v>85</v>
      </c>
      <c r="G7" s="10" t="s">
        <v>410</v>
      </c>
      <c r="H7" s="23">
        <v>46240</v>
      </c>
      <c r="I7" s="22">
        <v>1</v>
      </c>
      <c r="J7" s="22" t="s">
        <v>26</v>
      </c>
      <c r="K7" s="24" t="s">
        <v>93</v>
      </c>
      <c r="L7" s="25" t="s">
        <v>28</v>
      </c>
      <c r="M7" s="25" t="s">
        <v>26</v>
      </c>
      <c r="N7" s="25" t="s">
        <v>26</v>
      </c>
      <c r="O7" s="25" t="s">
        <v>34</v>
      </c>
      <c r="P7" s="25" t="s">
        <v>26</v>
      </c>
      <c r="Q7" s="25" t="s">
        <v>26</v>
      </c>
      <c r="R7" s="25" t="s">
        <v>26</v>
      </c>
      <c r="S7" s="26"/>
      <c r="T7" s="25"/>
    </row>
    <row r="8" spans="1:20" ht="26.4" x14ac:dyDescent="0.3">
      <c r="A8" s="22" t="s">
        <v>94</v>
      </c>
      <c r="B8" s="10" t="s">
        <v>50</v>
      </c>
      <c r="C8" s="10" t="s">
        <v>82</v>
      </c>
      <c r="D8" s="10" t="s">
        <v>95</v>
      </c>
      <c r="E8" s="10" t="s">
        <v>96</v>
      </c>
      <c r="F8" s="10" t="s">
        <v>97</v>
      </c>
      <c r="G8" s="10" t="s">
        <v>411</v>
      </c>
      <c r="H8" s="23">
        <v>46241</v>
      </c>
      <c r="I8" s="22">
        <v>1</v>
      </c>
      <c r="J8" s="22" t="s">
        <v>26</v>
      </c>
      <c r="K8" s="24"/>
      <c r="L8" s="25" t="s">
        <v>30</v>
      </c>
      <c r="M8" s="25" t="s">
        <v>26</v>
      </c>
      <c r="N8" s="25" t="s">
        <v>26</v>
      </c>
      <c r="O8" s="25" t="s">
        <v>34</v>
      </c>
      <c r="P8" s="25" t="s">
        <v>26</v>
      </c>
      <c r="Q8" s="25" t="s">
        <v>26</v>
      </c>
      <c r="R8" s="25" t="s">
        <v>26</v>
      </c>
      <c r="S8" s="26"/>
      <c r="T8" s="25"/>
    </row>
    <row r="9" spans="1:20" ht="26.4" x14ac:dyDescent="0.3">
      <c r="A9" s="22" t="s">
        <v>98</v>
      </c>
      <c r="B9" s="10" t="s">
        <v>99</v>
      </c>
      <c r="C9" s="10" t="s">
        <v>82</v>
      </c>
      <c r="D9" s="10" t="s">
        <v>100</v>
      </c>
      <c r="E9" s="10" t="s">
        <v>101</v>
      </c>
      <c r="F9" s="10" t="s">
        <v>102</v>
      </c>
      <c r="G9" s="10" t="s">
        <v>412</v>
      </c>
      <c r="H9" s="23">
        <v>46245</v>
      </c>
      <c r="I9" s="22">
        <v>1</v>
      </c>
      <c r="J9" s="22" t="s">
        <v>26</v>
      </c>
      <c r="K9" s="24"/>
      <c r="L9" s="25" t="s">
        <v>30</v>
      </c>
      <c r="M9" s="25" t="s">
        <v>34</v>
      </c>
      <c r="N9" s="25" t="s">
        <v>26</v>
      </c>
      <c r="O9" s="25" t="s">
        <v>34</v>
      </c>
      <c r="P9" s="25" t="s">
        <v>34</v>
      </c>
      <c r="Q9" s="25" t="s">
        <v>26</v>
      </c>
      <c r="R9" s="25" t="s">
        <v>26</v>
      </c>
      <c r="S9" s="26"/>
      <c r="T9" s="25"/>
    </row>
    <row r="10" spans="1:20" ht="26.4" x14ac:dyDescent="0.3">
      <c r="A10" s="22" t="s">
        <v>103</v>
      </c>
      <c r="B10" s="10" t="s">
        <v>50</v>
      </c>
      <c r="C10" s="10" t="s">
        <v>104</v>
      </c>
      <c r="D10" s="10" t="s">
        <v>105</v>
      </c>
      <c r="E10" s="10" t="s">
        <v>106</v>
      </c>
      <c r="F10" s="10" t="s">
        <v>107</v>
      </c>
      <c r="G10" s="10" t="s">
        <v>413</v>
      </c>
      <c r="H10" s="23">
        <v>46241</v>
      </c>
      <c r="I10" s="22">
        <v>1</v>
      </c>
      <c r="J10" s="22" t="s">
        <v>26</v>
      </c>
      <c r="K10" s="24"/>
      <c r="L10" s="25" t="s">
        <v>30</v>
      </c>
      <c r="M10" s="25" t="s">
        <v>26</v>
      </c>
      <c r="N10" s="25" t="s">
        <v>26</v>
      </c>
      <c r="O10" s="25" t="s">
        <v>34</v>
      </c>
      <c r="P10" s="25" t="s">
        <v>26</v>
      </c>
      <c r="Q10" s="25" t="s">
        <v>26</v>
      </c>
      <c r="R10" s="25" t="s">
        <v>26</v>
      </c>
      <c r="S10" s="26"/>
      <c r="T10" s="25"/>
    </row>
    <row r="11" spans="1:20" ht="26.4" x14ac:dyDescent="0.3">
      <c r="A11" s="22" t="s">
        <v>108</v>
      </c>
      <c r="B11" s="10" t="s">
        <v>99</v>
      </c>
      <c r="C11" s="10" t="s">
        <v>109</v>
      </c>
      <c r="D11" s="10" t="s">
        <v>110</v>
      </c>
      <c r="E11" s="10" t="s">
        <v>111</v>
      </c>
      <c r="F11" s="10" t="s">
        <v>107</v>
      </c>
      <c r="G11" s="10" t="s">
        <v>413</v>
      </c>
      <c r="H11" s="23">
        <v>46241</v>
      </c>
      <c r="I11" s="22">
        <v>1</v>
      </c>
      <c r="J11" s="22" t="s">
        <v>26</v>
      </c>
      <c r="K11" s="24"/>
      <c r="L11" s="25" t="s">
        <v>30</v>
      </c>
      <c r="M11" s="25" t="s">
        <v>34</v>
      </c>
      <c r="N11" s="25" t="s">
        <v>26</v>
      </c>
      <c r="O11" s="25" t="s">
        <v>34</v>
      </c>
      <c r="P11" s="25" t="s">
        <v>34</v>
      </c>
      <c r="Q11" s="25" t="s">
        <v>26</v>
      </c>
      <c r="R11" s="25" t="s">
        <v>26</v>
      </c>
      <c r="S11" s="26"/>
      <c r="T11" s="25"/>
    </row>
    <row r="12" spans="1:20" ht="26.4" x14ac:dyDescent="0.3">
      <c r="A12" s="22" t="s">
        <v>112</v>
      </c>
      <c r="B12" s="10" t="s">
        <v>113</v>
      </c>
      <c r="C12" s="10" t="s">
        <v>114</v>
      </c>
      <c r="D12" s="10" t="s">
        <v>115</v>
      </c>
      <c r="E12" s="10" t="s">
        <v>116</v>
      </c>
      <c r="F12" s="10" t="s">
        <v>85</v>
      </c>
      <c r="G12" s="10" t="s">
        <v>410</v>
      </c>
      <c r="H12" s="23">
        <v>46240</v>
      </c>
      <c r="I12" s="22">
        <v>1</v>
      </c>
      <c r="J12" s="22" t="s">
        <v>26</v>
      </c>
      <c r="K12" s="24"/>
      <c r="L12" s="25" t="s">
        <v>30</v>
      </c>
      <c r="M12" s="25" t="s">
        <v>26</v>
      </c>
      <c r="N12" s="25" t="s">
        <v>26</v>
      </c>
      <c r="O12" s="25" t="s">
        <v>26</v>
      </c>
      <c r="P12" s="25" t="s">
        <v>34</v>
      </c>
      <c r="Q12" s="25" t="s">
        <v>26</v>
      </c>
      <c r="R12" s="25" t="s">
        <v>26</v>
      </c>
      <c r="S12" s="26"/>
      <c r="T12" s="25"/>
    </row>
    <row r="13" spans="1:20" ht="26.4" x14ac:dyDescent="0.3">
      <c r="A13" s="22" t="s">
        <v>117</v>
      </c>
      <c r="B13" s="10" t="s">
        <v>113</v>
      </c>
      <c r="C13" s="10" t="s">
        <v>114</v>
      </c>
      <c r="D13" s="10" t="s">
        <v>118</v>
      </c>
      <c r="E13" s="10" t="s">
        <v>119</v>
      </c>
      <c r="F13" s="10" t="s">
        <v>102</v>
      </c>
      <c r="G13" s="10" t="s">
        <v>414</v>
      </c>
      <c r="H13" s="23">
        <v>46242</v>
      </c>
      <c r="I13" s="22">
        <v>1</v>
      </c>
      <c r="J13" s="22" t="s">
        <v>26</v>
      </c>
      <c r="K13" s="24"/>
      <c r="L13" s="25" t="s">
        <v>30</v>
      </c>
      <c r="M13" s="25" t="s">
        <v>26</v>
      </c>
      <c r="N13" s="25" t="s">
        <v>26</v>
      </c>
      <c r="O13" s="25" t="s">
        <v>26</v>
      </c>
      <c r="P13" s="25" t="s">
        <v>34</v>
      </c>
      <c r="Q13" s="25" t="s">
        <v>26</v>
      </c>
      <c r="R13" s="25" t="s">
        <v>26</v>
      </c>
      <c r="S13" s="26"/>
      <c r="T13" s="25"/>
    </row>
    <row r="14" spans="1:20" ht="26.4" x14ac:dyDescent="0.3">
      <c r="A14" s="22" t="s">
        <v>120</v>
      </c>
      <c r="B14" s="10" t="s">
        <v>99</v>
      </c>
      <c r="C14" s="10" t="s">
        <v>114</v>
      </c>
      <c r="D14" s="10" t="s">
        <v>121</v>
      </c>
      <c r="E14" s="10" t="s">
        <v>122</v>
      </c>
      <c r="F14" s="10" t="s">
        <v>123</v>
      </c>
      <c r="G14" s="10" t="s">
        <v>415</v>
      </c>
      <c r="H14" s="23">
        <v>46240</v>
      </c>
      <c r="I14" s="22">
        <v>1</v>
      </c>
      <c r="J14" s="22" t="s">
        <v>26</v>
      </c>
      <c r="K14" s="24"/>
      <c r="L14" s="25" t="s">
        <v>30</v>
      </c>
      <c r="M14" s="25" t="s">
        <v>34</v>
      </c>
      <c r="N14" s="25" t="s">
        <v>26</v>
      </c>
      <c r="O14" s="25" t="s">
        <v>34</v>
      </c>
      <c r="P14" s="25" t="s">
        <v>34</v>
      </c>
      <c r="Q14" s="25" t="s">
        <v>26</v>
      </c>
      <c r="R14" s="25" t="s">
        <v>26</v>
      </c>
      <c r="S14" s="26"/>
      <c r="T14" s="25"/>
    </row>
    <row r="15" spans="1:20" ht="26.4" x14ac:dyDescent="0.3">
      <c r="A15" s="22" t="s">
        <v>124</v>
      </c>
      <c r="B15" s="10" t="s">
        <v>113</v>
      </c>
      <c r="C15" s="10" t="s">
        <v>125</v>
      </c>
      <c r="D15" s="10" t="s">
        <v>126</v>
      </c>
      <c r="E15" s="10" t="s">
        <v>127</v>
      </c>
      <c r="F15" s="10" t="s">
        <v>123</v>
      </c>
      <c r="G15" s="10" t="s">
        <v>415</v>
      </c>
      <c r="H15" s="23">
        <v>46240</v>
      </c>
      <c r="I15" s="22">
        <v>1</v>
      </c>
      <c r="J15" s="22" t="s">
        <v>26</v>
      </c>
      <c r="K15" s="24"/>
      <c r="L15" s="25" t="s">
        <v>30</v>
      </c>
      <c r="M15" s="25" t="s">
        <v>26</v>
      </c>
      <c r="N15" s="25" t="s">
        <v>26</v>
      </c>
      <c r="O15" s="25" t="s">
        <v>26</v>
      </c>
      <c r="P15" s="25" t="s">
        <v>34</v>
      </c>
      <c r="Q15" s="25" t="s">
        <v>26</v>
      </c>
      <c r="R15" s="25" t="s">
        <v>26</v>
      </c>
      <c r="S15" s="26"/>
      <c r="T15" s="25"/>
    </row>
    <row r="16" spans="1:20" ht="26.4" x14ac:dyDescent="0.3">
      <c r="A16" s="22" t="s">
        <v>128</v>
      </c>
      <c r="B16" s="10" t="s">
        <v>99</v>
      </c>
      <c r="C16" s="10" t="s">
        <v>129</v>
      </c>
      <c r="D16" s="10" t="s">
        <v>130</v>
      </c>
      <c r="E16" s="10" t="s">
        <v>131</v>
      </c>
      <c r="F16" s="10" t="s">
        <v>97</v>
      </c>
      <c r="G16" s="10" t="s">
        <v>412</v>
      </c>
      <c r="H16" s="23">
        <v>46245</v>
      </c>
      <c r="I16" s="22">
        <v>1</v>
      </c>
      <c r="J16" s="22" t="s">
        <v>26</v>
      </c>
      <c r="K16" s="24" t="s">
        <v>132</v>
      </c>
      <c r="L16" s="25" t="s">
        <v>28</v>
      </c>
      <c r="M16" s="25" t="s">
        <v>34</v>
      </c>
      <c r="N16" s="25" t="s">
        <v>26</v>
      </c>
      <c r="O16" s="25" t="s">
        <v>34</v>
      </c>
      <c r="P16" s="25" t="s">
        <v>34</v>
      </c>
      <c r="Q16" s="25" t="s">
        <v>26</v>
      </c>
      <c r="R16" s="25" t="s">
        <v>26</v>
      </c>
      <c r="S16" s="26"/>
      <c r="T16" s="25"/>
    </row>
    <row r="17" spans="1:20" ht="26.4" x14ac:dyDescent="0.3">
      <c r="A17" s="22" t="s">
        <v>133</v>
      </c>
      <c r="B17" s="10" t="s">
        <v>99</v>
      </c>
      <c r="C17" s="10" t="s">
        <v>129</v>
      </c>
      <c r="D17" s="10" t="s">
        <v>134</v>
      </c>
      <c r="E17" s="10" t="s">
        <v>135</v>
      </c>
      <c r="F17" s="10" t="s">
        <v>97</v>
      </c>
      <c r="G17" s="10" t="s">
        <v>411</v>
      </c>
      <c r="H17" s="23">
        <v>46241</v>
      </c>
      <c r="I17" s="22">
        <v>1</v>
      </c>
      <c r="J17" s="22" t="s">
        <v>26</v>
      </c>
      <c r="K17" s="24" t="s">
        <v>136</v>
      </c>
      <c r="L17" s="25" t="s">
        <v>28</v>
      </c>
      <c r="M17" s="25" t="s">
        <v>34</v>
      </c>
      <c r="N17" s="25" t="s">
        <v>26</v>
      </c>
      <c r="O17" s="25" t="s">
        <v>34</v>
      </c>
      <c r="P17" s="25" t="s">
        <v>34</v>
      </c>
      <c r="Q17" s="25" t="s">
        <v>26</v>
      </c>
      <c r="R17" s="25" t="s">
        <v>26</v>
      </c>
      <c r="S17" s="26"/>
      <c r="T17" s="25"/>
    </row>
    <row r="18" spans="1:20" ht="26.4" x14ac:dyDescent="0.3">
      <c r="A18" s="22" t="s">
        <v>137</v>
      </c>
      <c r="B18" s="10" t="s">
        <v>113</v>
      </c>
      <c r="C18" s="10" t="s">
        <v>129</v>
      </c>
      <c r="D18" s="10" t="s">
        <v>138</v>
      </c>
      <c r="E18" s="10" t="s">
        <v>139</v>
      </c>
      <c r="F18" s="10" t="s">
        <v>97</v>
      </c>
      <c r="G18" s="10" t="s">
        <v>411</v>
      </c>
      <c r="H18" s="23">
        <v>46241</v>
      </c>
      <c r="I18" s="22">
        <v>2</v>
      </c>
      <c r="J18" s="22" t="s">
        <v>26</v>
      </c>
      <c r="K18" s="24"/>
      <c r="L18" s="25" t="s">
        <v>30</v>
      </c>
      <c r="M18" s="25" t="s">
        <v>26</v>
      </c>
      <c r="N18" s="25" t="s">
        <v>26</v>
      </c>
      <c r="O18" s="25" t="s">
        <v>26</v>
      </c>
      <c r="P18" s="25" t="s">
        <v>34</v>
      </c>
      <c r="Q18" s="25" t="s">
        <v>26</v>
      </c>
      <c r="R18" s="25" t="s">
        <v>26</v>
      </c>
      <c r="S18" s="26"/>
      <c r="T18" s="25"/>
    </row>
    <row r="19" spans="1:20" ht="26.4" x14ac:dyDescent="0.3">
      <c r="A19" s="22" t="s">
        <v>140</v>
      </c>
      <c r="B19" s="10" t="s">
        <v>141</v>
      </c>
      <c r="C19" s="10" t="s">
        <v>142</v>
      </c>
      <c r="D19" s="10" t="s">
        <v>143</v>
      </c>
      <c r="E19" s="10" t="s">
        <v>144</v>
      </c>
      <c r="F19" s="10" t="s">
        <v>145</v>
      </c>
      <c r="G19" s="10" t="s">
        <v>412</v>
      </c>
      <c r="H19" s="23">
        <v>46245</v>
      </c>
      <c r="I19" s="22">
        <v>1</v>
      </c>
      <c r="J19" s="22" t="s">
        <v>26</v>
      </c>
      <c r="K19" s="24"/>
      <c r="L19" s="25" t="s">
        <v>30</v>
      </c>
      <c r="M19" s="25" t="s">
        <v>34</v>
      </c>
      <c r="N19" s="25" t="s">
        <v>26</v>
      </c>
      <c r="O19" s="25" t="s">
        <v>34</v>
      </c>
      <c r="P19" s="25" t="s">
        <v>34</v>
      </c>
      <c r="Q19" s="25" t="s">
        <v>26</v>
      </c>
      <c r="R19" s="25" t="s">
        <v>26</v>
      </c>
      <c r="S19" s="26"/>
      <c r="T19" s="25"/>
    </row>
    <row r="20" spans="1:20" ht="26.4" x14ac:dyDescent="0.3">
      <c r="A20" s="22" t="s">
        <v>146</v>
      </c>
      <c r="B20" s="10" t="s">
        <v>141</v>
      </c>
      <c r="C20" s="10" t="s">
        <v>142</v>
      </c>
      <c r="D20" s="10" t="s">
        <v>147</v>
      </c>
      <c r="E20" s="10" t="s">
        <v>148</v>
      </c>
      <c r="F20" s="10" t="s">
        <v>149</v>
      </c>
      <c r="G20" s="10" t="s">
        <v>412</v>
      </c>
      <c r="H20" s="23">
        <v>46245</v>
      </c>
      <c r="I20" s="22">
        <v>1</v>
      </c>
      <c r="J20" s="22" t="s">
        <v>26</v>
      </c>
      <c r="K20" s="24" t="s">
        <v>93</v>
      </c>
      <c r="L20" s="25" t="s">
        <v>28</v>
      </c>
      <c r="M20" s="25" t="s">
        <v>34</v>
      </c>
      <c r="N20" s="25" t="s">
        <v>26</v>
      </c>
      <c r="O20" s="25" t="s">
        <v>34</v>
      </c>
      <c r="P20" s="25" t="s">
        <v>34</v>
      </c>
      <c r="Q20" s="25" t="s">
        <v>26</v>
      </c>
      <c r="R20" s="25" t="s">
        <v>26</v>
      </c>
      <c r="S20" s="26"/>
      <c r="T20" s="25"/>
    </row>
    <row r="21" spans="1:20" ht="26.4" x14ac:dyDescent="0.3">
      <c r="A21" s="22" t="s">
        <v>150</v>
      </c>
      <c r="B21" s="10" t="s">
        <v>141</v>
      </c>
      <c r="C21" s="10" t="s">
        <v>142</v>
      </c>
      <c r="D21" s="10" t="s">
        <v>151</v>
      </c>
      <c r="E21" s="10" t="s">
        <v>152</v>
      </c>
      <c r="F21" s="10" t="s">
        <v>102</v>
      </c>
      <c r="G21" s="10" t="s">
        <v>414</v>
      </c>
      <c r="H21" s="23">
        <v>46242</v>
      </c>
      <c r="I21" s="22">
        <v>1</v>
      </c>
      <c r="J21" s="22" t="s">
        <v>26</v>
      </c>
      <c r="K21" s="24"/>
      <c r="L21" s="25" t="s">
        <v>30</v>
      </c>
      <c r="M21" s="25" t="s">
        <v>34</v>
      </c>
      <c r="N21" s="25" t="s">
        <v>26</v>
      </c>
      <c r="O21" s="25" t="s">
        <v>34</v>
      </c>
      <c r="P21" s="25" t="s">
        <v>34</v>
      </c>
      <c r="Q21" s="25" t="s">
        <v>26</v>
      </c>
      <c r="R21" s="25" t="s">
        <v>26</v>
      </c>
      <c r="S21" s="26"/>
      <c r="T21" s="25"/>
    </row>
    <row r="22" spans="1:20" ht="26.4" x14ac:dyDescent="0.3">
      <c r="A22" s="22" t="s">
        <v>153</v>
      </c>
      <c r="B22" s="10" t="s">
        <v>141</v>
      </c>
      <c r="C22" s="10" t="s">
        <v>142</v>
      </c>
      <c r="D22" s="10" t="s">
        <v>154</v>
      </c>
      <c r="E22" s="10" t="s">
        <v>155</v>
      </c>
      <c r="F22" s="10" t="s">
        <v>149</v>
      </c>
      <c r="G22" s="10" t="s">
        <v>412</v>
      </c>
      <c r="H22" s="23">
        <v>46245</v>
      </c>
      <c r="I22" s="22">
        <v>1</v>
      </c>
      <c r="J22" s="22" t="s">
        <v>26</v>
      </c>
      <c r="K22" s="24"/>
      <c r="L22" s="25" t="s">
        <v>30</v>
      </c>
      <c r="M22" s="25" t="s">
        <v>34</v>
      </c>
      <c r="N22" s="25" t="s">
        <v>26</v>
      </c>
      <c r="O22" s="25" t="s">
        <v>34</v>
      </c>
      <c r="P22" s="25" t="s">
        <v>34</v>
      </c>
      <c r="Q22" s="25" t="s">
        <v>26</v>
      </c>
      <c r="R22" s="25" t="s">
        <v>26</v>
      </c>
      <c r="S22" s="26"/>
      <c r="T22" s="25"/>
    </row>
    <row r="23" spans="1:20" ht="26.4" x14ac:dyDescent="0.3">
      <c r="A23" s="22" t="s">
        <v>156</v>
      </c>
      <c r="B23" s="10" t="s">
        <v>141</v>
      </c>
      <c r="C23" s="10" t="s">
        <v>142</v>
      </c>
      <c r="D23" s="10" t="s">
        <v>157</v>
      </c>
      <c r="E23" s="10" t="s">
        <v>158</v>
      </c>
      <c r="F23" s="10" t="s">
        <v>102</v>
      </c>
      <c r="G23" s="10" t="s">
        <v>412</v>
      </c>
      <c r="H23" s="23">
        <v>46245</v>
      </c>
      <c r="I23" s="22">
        <v>1</v>
      </c>
      <c r="J23" s="22" t="s">
        <v>26</v>
      </c>
      <c r="K23" s="24"/>
      <c r="L23" s="25" t="s">
        <v>30</v>
      </c>
      <c r="M23" s="25" t="s">
        <v>34</v>
      </c>
      <c r="N23" s="25" t="s">
        <v>26</v>
      </c>
      <c r="O23" s="25" t="s">
        <v>34</v>
      </c>
      <c r="P23" s="25" t="s">
        <v>34</v>
      </c>
      <c r="Q23" s="25" t="s">
        <v>26</v>
      </c>
      <c r="R23" s="25" t="s">
        <v>26</v>
      </c>
      <c r="S23" s="26"/>
      <c r="T23" s="25"/>
    </row>
    <row r="24" spans="1:20" ht="26.4" x14ac:dyDescent="0.3">
      <c r="A24" s="22" t="s">
        <v>159</v>
      </c>
      <c r="B24" s="10" t="s">
        <v>141</v>
      </c>
      <c r="C24" s="10" t="s">
        <v>142</v>
      </c>
      <c r="D24" s="10" t="s">
        <v>160</v>
      </c>
      <c r="E24" s="10" t="s">
        <v>161</v>
      </c>
      <c r="F24" s="10" t="s">
        <v>145</v>
      </c>
      <c r="G24" s="10" t="s">
        <v>412</v>
      </c>
      <c r="H24" s="23">
        <v>46245</v>
      </c>
      <c r="I24" s="22">
        <v>1</v>
      </c>
      <c r="J24" s="22" t="s">
        <v>26</v>
      </c>
      <c r="K24" s="24"/>
      <c r="L24" s="25" t="s">
        <v>30</v>
      </c>
      <c r="M24" s="25" t="s">
        <v>34</v>
      </c>
      <c r="N24" s="25" t="s">
        <v>26</v>
      </c>
      <c r="O24" s="25" t="s">
        <v>34</v>
      </c>
      <c r="P24" s="25" t="s">
        <v>34</v>
      </c>
      <c r="Q24" s="25" t="s">
        <v>26</v>
      </c>
      <c r="R24" s="25" t="s">
        <v>26</v>
      </c>
      <c r="S24" s="26"/>
      <c r="T24" s="25"/>
    </row>
    <row r="25" spans="1:20" ht="26.4" x14ac:dyDescent="0.3">
      <c r="A25" s="22" t="s">
        <v>162</v>
      </c>
      <c r="B25" s="10" t="s">
        <v>141</v>
      </c>
      <c r="C25" s="10" t="s">
        <v>142</v>
      </c>
      <c r="D25" s="10" t="s">
        <v>109</v>
      </c>
      <c r="E25" s="10" t="s">
        <v>163</v>
      </c>
      <c r="F25" s="10" t="s">
        <v>149</v>
      </c>
      <c r="G25" s="10" t="s">
        <v>412</v>
      </c>
      <c r="H25" s="23">
        <v>46245</v>
      </c>
      <c r="I25" s="22">
        <v>1</v>
      </c>
      <c r="J25" s="22" t="s">
        <v>26</v>
      </c>
      <c r="K25" s="24"/>
      <c r="L25" s="25" t="s">
        <v>30</v>
      </c>
      <c r="M25" s="25" t="s">
        <v>34</v>
      </c>
      <c r="N25" s="25" t="s">
        <v>26</v>
      </c>
      <c r="O25" s="25" t="s">
        <v>34</v>
      </c>
      <c r="P25" s="25" t="s">
        <v>34</v>
      </c>
      <c r="Q25" s="25" t="s">
        <v>26</v>
      </c>
      <c r="R25" s="25" t="s">
        <v>26</v>
      </c>
      <c r="S25" s="26"/>
      <c r="T25" s="25"/>
    </row>
  </sheetData>
  <autoFilter ref="A4:T25" xr:uid="{00000000-0009-0000-0000-000002000000}"/>
  <conditionalFormatting sqref="L5:R200">
    <cfRule type="cellIs" dxfId="24" priority="2" operator="equal">
      <formula>"Done"</formula>
    </cfRule>
    <cfRule type="cellIs" dxfId="23" priority="3" operator="equal">
      <formula>"In progress"</formula>
    </cfRule>
    <cfRule type="cellIs" dxfId="22" priority="4" operator="equal">
      <formula>"Blocked"</formula>
    </cfRule>
    <cfRule type="cellIs" dxfId="21" priority="5" operator="equal">
      <formula>"New"</formula>
    </cfRule>
    <cfRule type="cellIs" dxfId="20" priority="6" operator="equal">
      <formula>"N/A"</formula>
    </cfRule>
  </conditionalFormatting>
  <dataValidations count="3">
    <dataValidation type="list" allowBlank="1" sqref="L5:R200" xr:uid="{00000000-0002-0000-0200-000000000000}">
      <formula1>"New,In progress,Done,Blocked,N/A"</formula1>
      <formula2>0</formula2>
    </dataValidation>
    <dataValidation type="list" allowBlank="1" sqref="I5:I200" xr:uid="{00000000-0002-0000-0200-000001000000}">
      <formula1>"1,2,3,4,5"</formula1>
      <formula2>0</formula2>
    </dataValidation>
    <dataValidation type="list" allowBlank="1" sqref="J5:J200" xr:uid="{00000000-0002-0000-0200-000002000000}">
      <formula1>"New,Change"</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11"/>
  <sheetViews>
    <sheetView showGridLines="0" zoomScaleNormal="100" workbookViewId="0">
      <pane xSplit="1" ySplit="4" topLeftCell="E5" activePane="bottomRight" state="frozen"/>
      <selection pane="topRight" activeCell="B1" sqref="B1"/>
      <selection pane="bottomLeft" activeCell="A5" sqref="A5"/>
      <selection pane="bottomRight"/>
    </sheetView>
  </sheetViews>
  <sheetFormatPr defaultColWidth="8.6640625" defaultRowHeight="14.4" x14ac:dyDescent="0.3"/>
  <cols>
    <col min="1" max="1" width="8" customWidth="1"/>
    <col min="2" max="2" width="14" customWidth="1"/>
    <col min="3" max="4" width="30" customWidth="1"/>
    <col min="5" max="5" width="42" customWidth="1"/>
    <col min="6" max="6" width="62" customWidth="1"/>
    <col min="7" max="7" width="18" customWidth="1"/>
    <col min="8" max="8" width="8" customWidth="1"/>
    <col min="9" max="9" width="12" customWidth="1"/>
    <col min="10" max="10" width="10" customWidth="1"/>
    <col min="11" max="11" width="8" customWidth="1"/>
    <col min="12" max="12" width="10" customWidth="1"/>
    <col min="13" max="13" width="11" customWidth="1"/>
  </cols>
  <sheetData>
    <row r="1" spans="1:13" ht="17.399999999999999" x14ac:dyDescent="0.3">
      <c r="A1" s="11" t="s">
        <v>164</v>
      </c>
    </row>
    <row r="2" spans="1:13" x14ac:dyDescent="0.3">
      <c r="A2" s="12" t="s">
        <v>404</v>
      </c>
    </row>
    <row r="4" spans="1:13" ht="31.5" customHeight="1" x14ac:dyDescent="0.3">
      <c r="A4" s="14" t="s">
        <v>69</v>
      </c>
      <c r="B4" s="14" t="s">
        <v>165</v>
      </c>
      <c r="C4" s="14" t="s">
        <v>166</v>
      </c>
      <c r="D4" s="14" t="s">
        <v>167</v>
      </c>
      <c r="E4" s="14" t="s">
        <v>168</v>
      </c>
      <c r="F4" s="14" t="s">
        <v>169</v>
      </c>
      <c r="G4" s="14" t="s">
        <v>78</v>
      </c>
      <c r="H4" s="14" t="s">
        <v>170</v>
      </c>
      <c r="I4" s="14" t="s">
        <v>41</v>
      </c>
      <c r="J4" s="14" t="s">
        <v>171</v>
      </c>
      <c r="K4" s="14" t="s">
        <v>172</v>
      </c>
      <c r="L4" s="14" t="s">
        <v>55</v>
      </c>
      <c r="M4" s="14" t="s">
        <v>173</v>
      </c>
    </row>
    <row r="5" spans="1:13" ht="105.6" x14ac:dyDescent="0.3">
      <c r="A5" s="22" t="s">
        <v>174</v>
      </c>
      <c r="B5" s="10" t="s">
        <v>175</v>
      </c>
      <c r="C5" s="10" t="s">
        <v>176</v>
      </c>
      <c r="D5" s="10" t="s">
        <v>177</v>
      </c>
      <c r="E5" s="10" t="s">
        <v>178</v>
      </c>
      <c r="F5" s="10" t="s">
        <v>179</v>
      </c>
      <c r="G5" s="24"/>
      <c r="H5" s="22" t="s">
        <v>180</v>
      </c>
      <c r="I5" s="10" t="s">
        <v>181</v>
      </c>
      <c r="J5" s="22" t="s">
        <v>182</v>
      </c>
      <c r="K5" s="22">
        <v>8</v>
      </c>
      <c r="L5" s="25" t="s">
        <v>59</v>
      </c>
      <c r="M5" s="25" t="s">
        <v>183</v>
      </c>
    </row>
    <row r="6" spans="1:13" ht="66" x14ac:dyDescent="0.3">
      <c r="A6" s="22" t="s">
        <v>184</v>
      </c>
      <c r="B6" s="10" t="s">
        <v>175</v>
      </c>
      <c r="C6" s="10" t="s">
        <v>185</v>
      </c>
      <c r="D6" s="10" t="s">
        <v>186</v>
      </c>
      <c r="E6" s="10" t="s">
        <v>187</v>
      </c>
      <c r="F6" s="10" t="s">
        <v>188</v>
      </c>
      <c r="G6" s="24"/>
      <c r="H6" s="22" t="s">
        <v>180</v>
      </c>
      <c r="I6" s="10" t="s">
        <v>128</v>
      </c>
      <c r="J6" s="22" t="s">
        <v>182</v>
      </c>
      <c r="K6" s="22">
        <v>3</v>
      </c>
      <c r="L6" s="25" t="s">
        <v>60</v>
      </c>
      <c r="M6" s="25" t="s">
        <v>183</v>
      </c>
    </row>
    <row r="7" spans="1:13" ht="79.2" x14ac:dyDescent="0.3">
      <c r="A7" s="22" t="s">
        <v>189</v>
      </c>
      <c r="B7" s="10" t="s">
        <v>175</v>
      </c>
      <c r="C7" s="10" t="s">
        <v>190</v>
      </c>
      <c r="D7" s="10" t="s">
        <v>191</v>
      </c>
      <c r="E7" s="10" t="s">
        <v>192</v>
      </c>
      <c r="F7" s="10" t="s">
        <v>193</v>
      </c>
      <c r="G7" s="24"/>
      <c r="H7" s="22" t="s">
        <v>180</v>
      </c>
      <c r="I7" s="10" t="s">
        <v>194</v>
      </c>
      <c r="J7" s="22" t="s">
        <v>182</v>
      </c>
      <c r="K7" s="22">
        <v>5</v>
      </c>
      <c r="L7" s="25" t="s">
        <v>60</v>
      </c>
      <c r="M7" s="25" t="s">
        <v>183</v>
      </c>
    </row>
    <row r="8" spans="1:13" ht="79.2" x14ac:dyDescent="0.3">
      <c r="A8" s="22" t="s">
        <v>195</v>
      </c>
      <c r="B8" s="10" t="s">
        <v>196</v>
      </c>
      <c r="C8" s="10" t="s">
        <v>197</v>
      </c>
      <c r="D8" s="10" t="s">
        <v>198</v>
      </c>
      <c r="E8" s="10" t="s">
        <v>199</v>
      </c>
      <c r="F8" s="10" t="s">
        <v>200</v>
      </c>
      <c r="G8" s="24"/>
      <c r="H8" s="22" t="s">
        <v>201</v>
      </c>
      <c r="I8" s="10" t="s">
        <v>202</v>
      </c>
      <c r="J8" s="22" t="s">
        <v>182</v>
      </c>
      <c r="K8" s="22">
        <v>5</v>
      </c>
      <c r="L8" s="25" t="s">
        <v>59</v>
      </c>
      <c r="M8" s="25" t="s">
        <v>183</v>
      </c>
    </row>
    <row r="9" spans="1:13" ht="52.8" x14ac:dyDescent="0.3">
      <c r="A9" s="22" t="s">
        <v>203</v>
      </c>
      <c r="B9" s="10" t="s">
        <v>204</v>
      </c>
      <c r="C9" s="10" t="s">
        <v>205</v>
      </c>
      <c r="D9" s="10" t="s">
        <v>206</v>
      </c>
      <c r="E9" s="10" t="s">
        <v>207</v>
      </c>
      <c r="F9" s="10" t="s">
        <v>208</v>
      </c>
      <c r="G9" s="24"/>
      <c r="H9" s="22" t="s">
        <v>201</v>
      </c>
      <c r="I9" s="10" t="s">
        <v>124</v>
      </c>
      <c r="J9" s="22" t="s">
        <v>182</v>
      </c>
      <c r="K9" s="22">
        <v>5</v>
      </c>
      <c r="L9" s="25" t="s">
        <v>60</v>
      </c>
      <c r="M9" s="25" t="s">
        <v>183</v>
      </c>
    </row>
    <row r="10" spans="1:13" ht="79.2" x14ac:dyDescent="0.3">
      <c r="A10" s="22" t="s">
        <v>209</v>
      </c>
      <c r="B10" s="10" t="s">
        <v>175</v>
      </c>
      <c r="C10" s="10" t="s">
        <v>210</v>
      </c>
      <c r="D10" s="10" t="s">
        <v>211</v>
      </c>
      <c r="E10" s="10" t="s">
        <v>212</v>
      </c>
      <c r="F10" s="10" t="s">
        <v>213</v>
      </c>
      <c r="G10" s="24"/>
      <c r="H10" s="22" t="s">
        <v>214</v>
      </c>
      <c r="I10" s="10" t="s">
        <v>215</v>
      </c>
      <c r="J10" s="22" t="s">
        <v>182</v>
      </c>
      <c r="K10" s="22">
        <v>8</v>
      </c>
      <c r="L10" s="25" t="s">
        <v>61</v>
      </c>
      <c r="M10" s="25" t="s">
        <v>216</v>
      </c>
    </row>
    <row r="11" spans="1:13" ht="52.8" x14ac:dyDescent="0.3">
      <c r="A11" s="22" t="s">
        <v>217</v>
      </c>
      <c r="B11" s="10" t="s">
        <v>175</v>
      </c>
      <c r="C11" s="10" t="s">
        <v>218</v>
      </c>
      <c r="D11" s="10" t="s">
        <v>219</v>
      </c>
      <c r="E11" s="10" t="s">
        <v>220</v>
      </c>
      <c r="F11" s="10"/>
      <c r="G11" s="24" t="s">
        <v>416</v>
      </c>
      <c r="H11" s="22" t="s">
        <v>221</v>
      </c>
      <c r="I11" s="10" t="s">
        <v>221</v>
      </c>
      <c r="J11" s="22" t="s">
        <v>222</v>
      </c>
      <c r="K11" s="22"/>
      <c r="L11" s="25" t="s">
        <v>223</v>
      </c>
      <c r="M11" s="25" t="s">
        <v>216</v>
      </c>
    </row>
  </sheetData>
  <autoFilter ref="A4:M11" xr:uid="{00000000-0009-0000-0000-000003000000}"/>
  <conditionalFormatting sqref="M5:M200">
    <cfRule type="cellIs" dxfId="19" priority="2" operator="equal">
      <formula>"Ready"</formula>
    </cfRule>
    <cfRule type="cellIs" dxfId="18" priority="3" operator="equal">
      <formula>"Done"</formula>
    </cfRule>
    <cfRule type="cellIs" dxfId="17" priority="4" operator="equal">
      <formula>"In Progress"</formula>
    </cfRule>
    <cfRule type="cellIs" dxfId="16" priority="5" operator="equal">
      <formula>"Backlog"</formula>
    </cfRule>
  </conditionalFormatting>
  <dataValidations count="2">
    <dataValidation type="list" allowBlank="1" sqref="M5:M200" xr:uid="{00000000-0002-0000-0300-000000000000}">
      <formula1>"Backlog,Ready,In Progress,Done"</formula1>
      <formula2>0</formula2>
    </dataValidation>
    <dataValidation type="list" allowBlank="1" sqref="J5:J200" xr:uid="{00000000-0002-0000-0300-000001000000}">
      <formula1>"Must,Should,Could,Won't"</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20"/>
  <sheetViews>
    <sheetView showGridLines="0" zoomScaleNormal="100" workbookViewId="0">
      <pane xSplit="2" ySplit="4" topLeftCell="C8" activePane="bottomRight" state="frozen"/>
      <selection pane="topRight" activeCell="C1" sqref="C1"/>
      <selection pane="bottomLeft" activeCell="A5" sqref="A5"/>
      <selection pane="bottomRight"/>
    </sheetView>
  </sheetViews>
  <sheetFormatPr defaultColWidth="8.6640625" defaultRowHeight="14.4" x14ac:dyDescent="0.3"/>
  <cols>
    <col min="1" max="1" width="8" customWidth="1"/>
    <col min="2" max="2" width="40" customWidth="1"/>
    <col min="3" max="3" width="7" customWidth="1"/>
    <col min="4" max="4" width="13" customWidth="1"/>
    <col min="5" max="5" width="17" customWidth="1"/>
    <col min="6" max="6" width="12" customWidth="1"/>
    <col min="7" max="7" width="13" customWidth="1"/>
    <col min="8" max="8" width="11" customWidth="1"/>
    <col min="9" max="9" width="13" customWidth="1"/>
    <col min="10" max="10" width="11" customWidth="1"/>
    <col min="11" max="11" width="12" customWidth="1"/>
  </cols>
  <sheetData>
    <row r="1" spans="1:11" ht="17.399999999999999" x14ac:dyDescent="0.3">
      <c r="A1" s="11" t="s">
        <v>224</v>
      </c>
    </row>
    <row r="2" spans="1:11" x14ac:dyDescent="0.3">
      <c r="A2" s="12" t="s">
        <v>404</v>
      </c>
    </row>
    <row r="4" spans="1:11" ht="31.5" customHeight="1" x14ac:dyDescent="0.3">
      <c r="A4" s="14" t="s">
        <v>41</v>
      </c>
      <c r="B4" s="14" t="s">
        <v>225</v>
      </c>
      <c r="C4" s="14" t="s">
        <v>226</v>
      </c>
      <c r="D4" s="14" t="s">
        <v>227</v>
      </c>
      <c r="E4" s="14" t="s">
        <v>228</v>
      </c>
      <c r="F4" s="14" t="s">
        <v>229</v>
      </c>
      <c r="G4" s="14" t="s">
        <v>230</v>
      </c>
      <c r="H4" s="14" t="s">
        <v>231</v>
      </c>
      <c r="I4" s="14" t="s">
        <v>232</v>
      </c>
      <c r="J4" s="14" t="s">
        <v>233</v>
      </c>
      <c r="K4" s="14" t="s">
        <v>46</v>
      </c>
    </row>
    <row r="5" spans="1:11" ht="26.4" x14ac:dyDescent="0.3">
      <c r="A5" s="22" t="s">
        <v>81</v>
      </c>
      <c r="B5" s="10" t="s">
        <v>84</v>
      </c>
      <c r="C5" s="22" t="s">
        <v>234</v>
      </c>
      <c r="D5" s="10"/>
      <c r="E5" s="10" t="s">
        <v>235</v>
      </c>
      <c r="F5" s="10" t="s">
        <v>174</v>
      </c>
      <c r="G5" s="10" t="s">
        <v>236</v>
      </c>
      <c r="H5" s="10" t="s">
        <v>237</v>
      </c>
      <c r="I5" s="10" t="s">
        <v>238</v>
      </c>
      <c r="J5" s="22" t="str">
        <f t="shared" ref="J5:J18" si="0">IF(OR(I5="",I5="—"),"Thiếu","Đủ")</f>
        <v>Đủ</v>
      </c>
      <c r="K5" s="22" t="str">
        <f>INDEX(RequirementsList!$L$5:$L$200,MATCH(A5,RequirementsList!$A$5:$A$200,0))</f>
        <v>In progress</v>
      </c>
    </row>
    <row r="6" spans="1:11" ht="26.4" x14ac:dyDescent="0.3">
      <c r="A6" s="22" t="s">
        <v>87</v>
      </c>
      <c r="B6" s="10" t="s">
        <v>89</v>
      </c>
      <c r="C6" s="22" t="s">
        <v>234</v>
      </c>
      <c r="D6" s="10" t="s">
        <v>239</v>
      </c>
      <c r="E6" s="10" t="s">
        <v>240</v>
      </c>
      <c r="F6" s="10" t="s">
        <v>174</v>
      </c>
      <c r="G6" s="10" t="s">
        <v>236</v>
      </c>
      <c r="H6" s="10" t="s">
        <v>241</v>
      </c>
      <c r="I6" s="10" t="s">
        <v>242</v>
      </c>
      <c r="J6" s="22" t="str">
        <f t="shared" si="0"/>
        <v>Đủ</v>
      </c>
      <c r="K6" s="22" t="str">
        <f>INDEX(RequirementsList!$L$5:$L$200,MATCH(A6,RequirementsList!$A$5:$A$200,0))</f>
        <v>Done</v>
      </c>
    </row>
    <row r="7" spans="1:11" x14ac:dyDescent="0.3">
      <c r="A7" s="22" t="s">
        <v>90</v>
      </c>
      <c r="B7" s="10" t="s">
        <v>92</v>
      </c>
      <c r="C7" s="22" t="s">
        <v>234</v>
      </c>
      <c r="D7" s="10" t="s">
        <v>239</v>
      </c>
      <c r="E7" s="10" t="s">
        <v>243</v>
      </c>
      <c r="F7" s="10" t="s">
        <v>174</v>
      </c>
      <c r="G7" s="10" t="s">
        <v>236</v>
      </c>
      <c r="H7" s="10" t="s">
        <v>244</v>
      </c>
      <c r="I7" s="10" t="s">
        <v>245</v>
      </c>
      <c r="J7" s="22" t="str">
        <f t="shared" si="0"/>
        <v>Đủ</v>
      </c>
      <c r="K7" s="22" t="str">
        <f>INDEX(RequirementsList!$L$5:$L$200,MATCH(A7,RequirementsList!$A$5:$A$200,0))</f>
        <v>In progress</v>
      </c>
    </row>
    <row r="8" spans="1:11" ht="26.4" x14ac:dyDescent="0.3">
      <c r="A8" s="22" t="s">
        <v>94</v>
      </c>
      <c r="B8" s="10" t="s">
        <v>96</v>
      </c>
      <c r="C8" s="22" t="s">
        <v>234</v>
      </c>
      <c r="D8" s="10"/>
      <c r="E8" s="10" t="s">
        <v>246</v>
      </c>
      <c r="F8" s="10" t="s">
        <v>174</v>
      </c>
      <c r="G8" s="10" t="s">
        <v>236</v>
      </c>
      <c r="H8" s="10" t="s">
        <v>247</v>
      </c>
      <c r="I8" s="10" t="s">
        <v>242</v>
      </c>
      <c r="J8" s="22" t="str">
        <f t="shared" si="0"/>
        <v>Đủ</v>
      </c>
      <c r="K8" s="22" t="str">
        <f>INDEX(RequirementsList!$L$5:$L$200,MATCH(A8,RequirementsList!$A$5:$A$200,0))</f>
        <v>Done</v>
      </c>
    </row>
    <row r="9" spans="1:11" x14ac:dyDescent="0.3">
      <c r="A9" s="22" t="s">
        <v>98</v>
      </c>
      <c r="B9" s="10" t="s">
        <v>101</v>
      </c>
      <c r="C9" s="22" t="s">
        <v>248</v>
      </c>
      <c r="D9" s="10" t="s">
        <v>249</v>
      </c>
      <c r="E9" s="10" t="s">
        <v>235</v>
      </c>
      <c r="F9" s="10" t="s">
        <v>174</v>
      </c>
      <c r="G9" s="10" t="s">
        <v>250</v>
      </c>
      <c r="H9" s="10" t="s">
        <v>221</v>
      </c>
      <c r="I9" s="10" t="s">
        <v>238</v>
      </c>
      <c r="J9" s="22" t="str">
        <f t="shared" si="0"/>
        <v>Đủ</v>
      </c>
      <c r="K9" s="22" t="str">
        <f>INDEX(RequirementsList!$L$5:$L$200,MATCH(A9,RequirementsList!$A$5:$A$200,0))</f>
        <v>Done</v>
      </c>
    </row>
    <row r="10" spans="1:11" ht="26.4" x14ac:dyDescent="0.3">
      <c r="A10" s="22" t="s">
        <v>103</v>
      </c>
      <c r="B10" s="10" t="s">
        <v>106</v>
      </c>
      <c r="C10" s="22" t="s">
        <v>234</v>
      </c>
      <c r="D10" s="10" t="s">
        <v>251</v>
      </c>
      <c r="E10" s="10" t="s">
        <v>252</v>
      </c>
      <c r="F10" s="10" t="s">
        <v>189</v>
      </c>
      <c r="G10" s="10" t="s">
        <v>253</v>
      </c>
      <c r="H10" s="10" t="s">
        <v>254</v>
      </c>
      <c r="I10" s="10" t="s">
        <v>255</v>
      </c>
      <c r="J10" s="22" t="str">
        <f t="shared" si="0"/>
        <v>Đủ</v>
      </c>
      <c r="K10" s="22" t="str">
        <f>INDEX(RequirementsList!$L$5:$L$200,MATCH(A10,RequirementsList!$A$5:$A$200,0))</f>
        <v>Done</v>
      </c>
    </row>
    <row r="11" spans="1:11" x14ac:dyDescent="0.3">
      <c r="A11" s="22" t="s">
        <v>108</v>
      </c>
      <c r="B11" s="10" t="s">
        <v>111</v>
      </c>
      <c r="C11" s="22" t="s">
        <v>234</v>
      </c>
      <c r="D11" s="10" t="s">
        <v>251</v>
      </c>
      <c r="E11" s="10" t="s">
        <v>256</v>
      </c>
      <c r="F11" s="10" t="s">
        <v>189</v>
      </c>
      <c r="G11" s="10" t="s">
        <v>253</v>
      </c>
      <c r="H11" s="10" t="s">
        <v>254</v>
      </c>
      <c r="I11" s="10" t="s">
        <v>255</v>
      </c>
      <c r="J11" s="22" t="str">
        <f t="shared" si="0"/>
        <v>Đủ</v>
      </c>
      <c r="K11" s="22" t="str">
        <f>INDEX(RequirementsList!$L$5:$L$200,MATCH(A11,RequirementsList!$A$5:$A$200,0))</f>
        <v>Done</v>
      </c>
    </row>
    <row r="12" spans="1:11" ht="26.4" x14ac:dyDescent="0.3">
      <c r="A12" s="22" t="s">
        <v>112</v>
      </c>
      <c r="B12" s="10" t="s">
        <v>116</v>
      </c>
      <c r="C12" s="22" t="s">
        <v>248</v>
      </c>
      <c r="D12" s="10" t="s">
        <v>257</v>
      </c>
      <c r="E12" s="10" t="s">
        <v>258</v>
      </c>
      <c r="F12" s="10" t="s">
        <v>195</v>
      </c>
      <c r="G12" s="10" t="s">
        <v>259</v>
      </c>
      <c r="H12" s="10" t="s">
        <v>260</v>
      </c>
      <c r="I12" s="10" t="s">
        <v>261</v>
      </c>
      <c r="J12" s="22" t="str">
        <f t="shared" si="0"/>
        <v>Đủ</v>
      </c>
      <c r="K12" s="22" t="str">
        <f>INDEX(RequirementsList!$L$5:$L$200,MATCH(A12,RequirementsList!$A$5:$A$200,0))</f>
        <v>Done</v>
      </c>
    </row>
    <row r="13" spans="1:11" ht="26.4" x14ac:dyDescent="0.3">
      <c r="A13" s="22" t="s">
        <v>117</v>
      </c>
      <c r="B13" s="10" t="s">
        <v>119</v>
      </c>
      <c r="C13" s="22" t="s">
        <v>248</v>
      </c>
      <c r="D13" s="10"/>
      <c r="E13" s="10" t="s">
        <v>256</v>
      </c>
      <c r="F13" s="10" t="s">
        <v>195</v>
      </c>
      <c r="G13" s="10" t="s">
        <v>259</v>
      </c>
      <c r="H13" s="10" t="s">
        <v>262</v>
      </c>
      <c r="I13" s="10" t="s">
        <v>261</v>
      </c>
      <c r="J13" s="22" t="str">
        <f t="shared" si="0"/>
        <v>Đủ</v>
      </c>
      <c r="K13" s="22" t="str">
        <f>INDEX(RequirementsList!$L$5:$L$200,MATCH(A13,RequirementsList!$A$5:$A$200,0))</f>
        <v>Done</v>
      </c>
    </row>
    <row r="14" spans="1:11" x14ac:dyDescent="0.3">
      <c r="A14" s="22" t="s">
        <v>120</v>
      </c>
      <c r="B14" s="10" t="s">
        <v>122</v>
      </c>
      <c r="C14" s="22" t="s">
        <v>248</v>
      </c>
      <c r="D14" s="10"/>
      <c r="E14" s="10" t="s">
        <v>252</v>
      </c>
      <c r="F14" s="10" t="s">
        <v>195</v>
      </c>
      <c r="G14" s="10" t="s">
        <v>263</v>
      </c>
      <c r="H14" s="10" t="s">
        <v>254</v>
      </c>
      <c r="I14" s="10" t="s">
        <v>261</v>
      </c>
      <c r="J14" s="22" t="str">
        <f t="shared" si="0"/>
        <v>Đủ</v>
      </c>
      <c r="K14" s="22" t="str">
        <f>INDEX(RequirementsList!$L$5:$L$200,MATCH(A14,RequirementsList!$A$5:$A$200,0))</f>
        <v>Done</v>
      </c>
    </row>
    <row r="15" spans="1:11" ht="26.4" x14ac:dyDescent="0.3">
      <c r="A15" s="22" t="s">
        <v>124</v>
      </c>
      <c r="B15" s="10" t="s">
        <v>127</v>
      </c>
      <c r="C15" s="22" t="s">
        <v>248</v>
      </c>
      <c r="D15" s="10" t="s">
        <v>264</v>
      </c>
      <c r="E15" s="10" t="s">
        <v>265</v>
      </c>
      <c r="F15" s="10" t="s">
        <v>203</v>
      </c>
      <c r="G15" s="10" t="s">
        <v>266</v>
      </c>
      <c r="H15" s="10" t="s">
        <v>267</v>
      </c>
      <c r="I15" s="10" t="s">
        <v>268</v>
      </c>
      <c r="J15" s="22" t="str">
        <f t="shared" si="0"/>
        <v>Đủ</v>
      </c>
      <c r="K15" s="22" t="str">
        <f>INDEX(RequirementsList!$L$5:$L$200,MATCH(A15,RequirementsList!$A$5:$A$200,0))</f>
        <v>Done</v>
      </c>
    </row>
    <row r="16" spans="1:11" ht="26.4" x14ac:dyDescent="0.3">
      <c r="A16" s="22" t="s">
        <v>128</v>
      </c>
      <c r="B16" s="10" t="s">
        <v>131</v>
      </c>
      <c r="C16" s="22" t="s">
        <v>269</v>
      </c>
      <c r="D16" s="10" t="s">
        <v>270</v>
      </c>
      <c r="E16" s="10" t="s">
        <v>271</v>
      </c>
      <c r="F16" s="10" t="s">
        <v>272</v>
      </c>
      <c r="G16" s="10" t="s">
        <v>273</v>
      </c>
      <c r="H16" s="10" t="s">
        <v>274</v>
      </c>
      <c r="I16" s="10" t="s">
        <v>275</v>
      </c>
      <c r="J16" s="22" t="str">
        <f t="shared" si="0"/>
        <v>Đủ</v>
      </c>
      <c r="K16" s="22" t="str">
        <f>INDEX(RequirementsList!$L$5:$L$200,MATCH(A16,RequirementsList!$A$5:$A$200,0))</f>
        <v>In progress</v>
      </c>
    </row>
    <row r="17" spans="1:11" ht="26.4" x14ac:dyDescent="0.3">
      <c r="A17" s="22" t="s">
        <v>133</v>
      </c>
      <c r="B17" s="10" t="s">
        <v>135</v>
      </c>
      <c r="C17" s="22" t="s">
        <v>269</v>
      </c>
      <c r="D17" s="10" t="s">
        <v>276</v>
      </c>
      <c r="E17" s="10" t="s">
        <v>277</v>
      </c>
      <c r="F17" s="10" t="s">
        <v>209</v>
      </c>
      <c r="G17" s="10" t="s">
        <v>273</v>
      </c>
      <c r="H17" s="10" t="s">
        <v>221</v>
      </c>
      <c r="I17" s="10" t="s">
        <v>278</v>
      </c>
      <c r="J17" s="22" t="str">
        <f t="shared" si="0"/>
        <v>Đủ</v>
      </c>
      <c r="K17" s="22" t="str">
        <f>INDEX(RequirementsList!$L$5:$L$200,MATCH(A17,RequirementsList!$A$5:$A$200,0))</f>
        <v>In progress</v>
      </c>
    </row>
    <row r="18" spans="1:11" x14ac:dyDescent="0.3">
      <c r="A18" s="22" t="s">
        <v>137</v>
      </c>
      <c r="B18" s="10" t="s">
        <v>139</v>
      </c>
      <c r="C18" s="22" t="s">
        <v>269</v>
      </c>
      <c r="D18" s="10"/>
      <c r="E18" s="10" t="s">
        <v>277</v>
      </c>
      <c r="F18" s="10" t="s">
        <v>209</v>
      </c>
      <c r="G18" s="10" t="s">
        <v>273</v>
      </c>
      <c r="H18" s="10" t="s">
        <v>279</v>
      </c>
      <c r="I18" s="10" t="s">
        <v>278</v>
      </c>
      <c r="J18" s="22" t="str">
        <f t="shared" si="0"/>
        <v>Đủ</v>
      </c>
      <c r="K18" s="22" t="str">
        <f>INDEX(RequirementsList!$L$5:$L$200,MATCH(A18,RequirementsList!$A$5:$A$200,0))</f>
        <v>Done</v>
      </c>
    </row>
    <row r="20" spans="1:11" x14ac:dyDescent="0.3">
      <c r="A20" s="12" t="s">
        <v>280</v>
      </c>
    </row>
  </sheetData>
  <autoFilter ref="A4:K18" xr:uid="{00000000-0009-0000-0000-000004000000}"/>
  <conditionalFormatting sqref="F5:F18">
    <cfRule type="cellIs" dxfId="15" priority="3" operator="equal">
      <formula>"—"</formula>
    </cfRule>
  </conditionalFormatting>
  <conditionalFormatting sqref="J5:J18">
    <cfRule type="cellIs" dxfId="14" priority="2" operator="equal">
      <formula>"Thiếu"</formula>
    </cfRule>
  </conditionalFormatting>
  <conditionalFormatting sqref="K5:K18">
    <cfRule type="cellIs" dxfId="13" priority="4" operator="equal">
      <formula>"Done"</formula>
    </cfRule>
    <cfRule type="cellIs" dxfId="12" priority="5" operator="equal">
      <formula>"In progress"</formula>
    </cfRule>
    <cfRule type="cellIs" dxfId="11" priority="6" operator="equal">
      <formula>"Blocked"</formula>
    </cfRule>
    <cfRule type="cellIs" dxfId="10" priority="7" operator="equal">
      <formula>"New"</formula>
    </cfRule>
    <cfRule type="cellIs" dxfId="9" priority="8" operator="equal">
      <formula>"N/A"</formula>
    </cfRule>
  </conditionalFormatting>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8"/>
  <sheetViews>
    <sheetView showGridLines="0" tabSelected="1" zoomScaleNormal="100" workbookViewId="0">
      <pane xSplit="2" ySplit="4" topLeftCell="C5" activePane="bottomRight" state="frozen"/>
      <selection pane="topRight" activeCell="C1" sqref="C1"/>
      <selection pane="bottomLeft" activeCell="A5" sqref="A5"/>
      <selection pane="bottomRight"/>
    </sheetView>
  </sheetViews>
  <sheetFormatPr defaultColWidth="8.6640625" defaultRowHeight="14.4" x14ac:dyDescent="0.3"/>
  <cols>
    <col min="1" max="1" width="8" customWidth="1"/>
    <col min="2" max="2" width="36" customWidth="1"/>
    <col min="3" max="3" width="11" customWidth="1"/>
    <col min="4" max="4" width="18" customWidth="1"/>
    <col min="5" max="5" width="30" customWidth="1"/>
    <col min="6" max="6" width="15" customWidth="1"/>
    <col min="7" max="9" width="11" customWidth="1"/>
    <col min="10" max="10" width="30" customWidth="1"/>
    <col min="11" max="11" width="11" customWidth="1"/>
    <col min="12" max="12" width="9" customWidth="1"/>
    <col min="13" max="13" width="10" customWidth="1"/>
  </cols>
  <sheetData>
    <row r="1" spans="1:13" ht="17.399999999999999" x14ac:dyDescent="0.3">
      <c r="A1" s="11" t="s">
        <v>281</v>
      </c>
    </row>
    <row r="2" spans="1:13" x14ac:dyDescent="0.3">
      <c r="A2" s="12" t="s">
        <v>404</v>
      </c>
    </row>
    <row r="3" spans="1:13" x14ac:dyDescent="0.3">
      <c r="A3" s="1" t="s">
        <v>282</v>
      </c>
      <c r="B3" s="1"/>
      <c r="C3" s="27">
        <v>46255</v>
      </c>
      <c r="D3" s="12" t="s">
        <v>283</v>
      </c>
    </row>
    <row r="4" spans="1:13" ht="31.5" customHeight="1" x14ac:dyDescent="0.3">
      <c r="A4" s="14" t="s">
        <v>69</v>
      </c>
      <c r="B4" s="14" t="s">
        <v>284</v>
      </c>
      <c r="C4" s="14" t="s">
        <v>285</v>
      </c>
      <c r="D4" s="14" t="s">
        <v>286</v>
      </c>
      <c r="E4" s="14" t="s">
        <v>287</v>
      </c>
      <c r="F4" s="14" t="s">
        <v>288</v>
      </c>
      <c r="G4" s="14" t="s">
        <v>289</v>
      </c>
      <c r="H4" s="14" t="s">
        <v>290</v>
      </c>
      <c r="I4" s="14" t="s">
        <v>173</v>
      </c>
      <c r="J4" s="14" t="s">
        <v>291</v>
      </c>
      <c r="K4" s="14" t="s">
        <v>292</v>
      </c>
      <c r="L4" s="14" t="s">
        <v>293</v>
      </c>
      <c r="M4" s="14" t="s">
        <v>294</v>
      </c>
    </row>
    <row r="5" spans="1:13" ht="26.4" x14ac:dyDescent="0.3">
      <c r="A5" s="22" t="s">
        <v>295</v>
      </c>
      <c r="B5" s="10" t="s">
        <v>296</v>
      </c>
      <c r="C5" s="22" t="s">
        <v>297</v>
      </c>
      <c r="D5" s="10" t="s">
        <v>298</v>
      </c>
      <c r="E5" s="10" t="s">
        <v>299</v>
      </c>
      <c r="F5" s="10" t="s">
        <v>102</v>
      </c>
      <c r="G5" s="23">
        <v>46252</v>
      </c>
      <c r="H5" s="23">
        <v>46258</v>
      </c>
      <c r="I5" s="25" t="s">
        <v>300</v>
      </c>
      <c r="J5" s="24"/>
      <c r="K5" s="26"/>
      <c r="L5" s="22">
        <f>IF(G5="","",IF(K5&lt;&gt;"",K5-G5,$C$3-G5))</f>
        <v>3</v>
      </c>
      <c r="M5" s="22" t="str">
        <f>IF(AND(I5="Mở",H5&lt;&gt;"",$C$3&gt;H5),"Quá hạn","")</f>
        <v/>
      </c>
    </row>
    <row r="6" spans="1:13" ht="26.4" x14ac:dyDescent="0.3">
      <c r="A6" s="22" t="s">
        <v>301</v>
      </c>
      <c r="B6" s="10" t="s">
        <v>302</v>
      </c>
      <c r="C6" s="22" t="s">
        <v>303</v>
      </c>
      <c r="D6" s="10" t="s">
        <v>304</v>
      </c>
      <c r="E6" s="10" t="s">
        <v>305</v>
      </c>
      <c r="F6" s="10" t="s">
        <v>306</v>
      </c>
      <c r="G6" s="23">
        <v>46252</v>
      </c>
      <c r="H6" s="23">
        <v>46258</v>
      </c>
      <c r="I6" s="25" t="s">
        <v>300</v>
      </c>
      <c r="J6" s="24"/>
      <c r="K6" s="26"/>
      <c r="L6" s="22">
        <f>IF(G6="","",IF(K6&lt;&gt;"",K6-G6,$C$3-G6))</f>
        <v>3</v>
      </c>
      <c r="M6" s="22" t="str">
        <f>IF(AND(I6="Mở",H6&lt;&gt;"",$C$3&gt;H6),"Quá hạn","")</f>
        <v/>
      </c>
    </row>
    <row r="7" spans="1:13" ht="26.4" x14ac:dyDescent="0.3">
      <c r="A7" s="22" t="s">
        <v>307</v>
      </c>
      <c r="B7" s="10" t="s">
        <v>308</v>
      </c>
      <c r="C7" s="22" t="s">
        <v>309</v>
      </c>
      <c r="D7" s="10" t="s">
        <v>310</v>
      </c>
      <c r="E7" s="10" t="s">
        <v>311</v>
      </c>
      <c r="F7" s="10" t="s">
        <v>312</v>
      </c>
      <c r="G7" s="23">
        <v>46252</v>
      </c>
      <c r="H7" s="23">
        <v>46258</v>
      </c>
      <c r="I7" s="25" t="s">
        <v>300</v>
      </c>
      <c r="J7" s="24"/>
      <c r="K7" s="26"/>
      <c r="L7" s="22">
        <f>IF(G7="","",IF(K7&lt;&gt;"",K7-G7,$C$3-G7))</f>
        <v>3</v>
      </c>
      <c r="M7" s="22" t="str">
        <f>IF(AND(I7="Mở",H7&lt;&gt;"",$C$3&gt;H7),"Quá hạn","")</f>
        <v/>
      </c>
    </row>
    <row r="8" spans="1:13" ht="26.4" x14ac:dyDescent="0.3">
      <c r="A8" s="22" t="s">
        <v>313</v>
      </c>
      <c r="B8" s="10" t="s">
        <v>314</v>
      </c>
      <c r="C8" s="22" t="s">
        <v>315</v>
      </c>
      <c r="D8" s="10" t="s">
        <v>316</v>
      </c>
      <c r="E8" s="10" t="s">
        <v>317</v>
      </c>
      <c r="F8" s="10" t="s">
        <v>318</v>
      </c>
      <c r="G8" s="23">
        <v>46252</v>
      </c>
      <c r="H8" s="23">
        <v>46258</v>
      </c>
      <c r="I8" s="25" t="s">
        <v>300</v>
      </c>
      <c r="J8" s="24"/>
      <c r="K8" s="26"/>
      <c r="L8" s="22">
        <f>IF(G8="","",IF(K8&lt;&gt;"",K8-G8,$C$3-G8))</f>
        <v>3</v>
      </c>
      <c r="M8" s="22" t="str">
        <f>IF(AND(I8="Mở",H8&lt;&gt;"",$C$3&gt;H8),"Quá hạn","")</f>
        <v/>
      </c>
    </row>
  </sheetData>
  <mergeCells count="1">
    <mergeCell ref="A3:B3"/>
  </mergeCells>
  <conditionalFormatting sqref="I5:I200">
    <cfRule type="cellIs" dxfId="8" priority="2" operator="equal">
      <formula>"Mở"</formula>
    </cfRule>
    <cfRule type="cellIs" dxfId="7" priority="3" operator="equal">
      <formula>"Đã trả lời"</formula>
    </cfRule>
    <cfRule type="cellIs" dxfId="6" priority="4" operator="equal">
      <formula>"Đóng"</formula>
    </cfRule>
  </conditionalFormatting>
  <conditionalFormatting sqref="M5:M200">
    <cfRule type="cellIs" dxfId="5" priority="5" operator="equal">
      <formula>"Quá hạn"</formula>
    </cfRule>
  </conditionalFormatting>
  <dataValidations count="1">
    <dataValidation type="list" allowBlank="1" sqref="I5:I200" xr:uid="{00000000-0002-0000-0500-000000000000}">
      <formula1>"Mở,Đã trả lời,Đóng"</formula1>
      <formula2>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7"/>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640625" defaultRowHeight="14.4" x14ac:dyDescent="0.3"/>
  <cols>
    <col min="1" max="1" width="5" customWidth="1"/>
    <col min="2" max="2" width="8" customWidth="1"/>
    <col min="3" max="3" width="11" customWidth="1"/>
    <col min="4" max="4" width="10" customWidth="1"/>
    <col min="5" max="5" width="14" customWidth="1"/>
    <col min="6" max="6" width="16" customWidth="1"/>
    <col min="7" max="8" width="26" customWidth="1"/>
    <col min="9" max="9" width="30" customWidth="1"/>
    <col min="10" max="11" width="8" customWidth="1"/>
    <col min="12" max="18" width="9" customWidth="1"/>
    <col min="19" max="19" width="26" customWidth="1"/>
  </cols>
  <sheetData>
    <row r="1" spans="1:19" ht="17.399999999999999" x14ac:dyDescent="0.3">
      <c r="A1" s="11" t="s">
        <v>319</v>
      </c>
    </row>
    <row r="2" spans="1:19" x14ac:dyDescent="0.3">
      <c r="A2" s="12" t="s">
        <v>404</v>
      </c>
    </row>
    <row r="4" spans="1:19" ht="31.5" customHeight="1" x14ac:dyDescent="0.3">
      <c r="A4" s="14" t="s">
        <v>320</v>
      </c>
      <c r="B4" s="14" t="s">
        <v>321</v>
      </c>
      <c r="C4" s="14" t="s">
        <v>322</v>
      </c>
      <c r="D4" s="14" t="s">
        <v>323</v>
      </c>
      <c r="E4" s="14" t="s">
        <v>324</v>
      </c>
      <c r="F4" s="14" t="s">
        <v>325</v>
      </c>
      <c r="G4" s="14" t="s">
        <v>326</v>
      </c>
      <c r="H4" s="14" t="s">
        <v>327</v>
      </c>
      <c r="I4" s="14" t="s">
        <v>328</v>
      </c>
      <c r="J4" s="14" t="s">
        <v>329</v>
      </c>
      <c r="K4" s="14" t="s">
        <v>330</v>
      </c>
      <c r="L4" s="14" t="s">
        <v>331</v>
      </c>
      <c r="M4" s="14" t="s">
        <v>332</v>
      </c>
      <c r="N4" s="14" t="s">
        <v>48</v>
      </c>
      <c r="O4" s="14" t="s">
        <v>49</v>
      </c>
      <c r="P4" s="14" t="s">
        <v>333</v>
      </c>
      <c r="Q4" s="14" t="s">
        <v>334</v>
      </c>
      <c r="R4" s="14" t="s">
        <v>335</v>
      </c>
      <c r="S4" s="14" t="s">
        <v>78</v>
      </c>
    </row>
    <row r="5" spans="1:19" ht="52.8" x14ac:dyDescent="0.3">
      <c r="A5" s="22">
        <v>1</v>
      </c>
      <c r="B5" s="22" t="s">
        <v>15</v>
      </c>
      <c r="C5" s="23">
        <v>46248</v>
      </c>
      <c r="D5" s="22" t="s">
        <v>336</v>
      </c>
      <c r="E5" s="10" t="s">
        <v>337</v>
      </c>
      <c r="F5" s="10" t="s">
        <v>338</v>
      </c>
      <c r="G5" s="10" t="s">
        <v>339</v>
      </c>
      <c r="H5" s="10" t="s">
        <v>340</v>
      </c>
      <c r="I5" s="10" t="s">
        <v>341</v>
      </c>
      <c r="J5" s="22">
        <v>2</v>
      </c>
      <c r="K5" s="22" t="s">
        <v>342</v>
      </c>
      <c r="L5" s="25" t="s">
        <v>30</v>
      </c>
      <c r="M5" s="25" t="s">
        <v>26</v>
      </c>
      <c r="N5" s="25" t="s">
        <v>26</v>
      </c>
      <c r="O5" s="25" t="s">
        <v>26</v>
      </c>
      <c r="P5" s="25" t="s">
        <v>26</v>
      </c>
      <c r="Q5" s="25" t="s">
        <v>26</v>
      </c>
      <c r="R5" s="25" t="s">
        <v>26</v>
      </c>
      <c r="S5" s="24" t="s">
        <v>417</v>
      </c>
    </row>
    <row r="7" spans="1:19" x14ac:dyDescent="0.3">
      <c r="A7" s="12" t="s">
        <v>343</v>
      </c>
    </row>
  </sheetData>
  <conditionalFormatting sqref="L5:R200">
    <cfRule type="cellIs" dxfId="4" priority="2" operator="equal">
      <formula>"Done"</formula>
    </cfRule>
    <cfRule type="cellIs" dxfId="3" priority="3" operator="equal">
      <formula>"In progress"</formula>
    </cfRule>
    <cfRule type="cellIs" dxfId="2" priority="4" operator="equal">
      <formula>"Blocked"</formula>
    </cfRule>
    <cfRule type="cellIs" dxfId="1" priority="5" operator="equal">
      <formula>"New"</formula>
    </cfRule>
    <cfRule type="cellIs" dxfId="0" priority="6" operator="equal">
      <formula>"N/A"</formula>
    </cfRule>
  </conditionalFormatting>
  <dataValidations count="1">
    <dataValidation type="list" allowBlank="1" sqref="L5:R200" xr:uid="{00000000-0002-0000-0600-000000000000}">
      <formula1>"New,In progress,Done,Blocked,N/A"</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D24"/>
  <sheetViews>
    <sheetView showGridLines="0" topLeftCell="A8" zoomScaleNormal="100" workbookViewId="0">
      <selection activeCell="F7" sqref="F7"/>
    </sheetView>
  </sheetViews>
  <sheetFormatPr defaultColWidth="8.6640625" defaultRowHeight="14.4" x14ac:dyDescent="0.3"/>
  <cols>
    <col min="1" max="1" width="2" customWidth="1"/>
    <col min="2" max="2" width="8" customWidth="1"/>
    <col min="3" max="3" width="46" customWidth="1"/>
    <col min="4" max="4" width="60" customWidth="1"/>
  </cols>
  <sheetData>
    <row r="1" spans="2:4" ht="25.5" customHeight="1" x14ac:dyDescent="0.3">
      <c r="B1" s="7" t="s">
        <v>418</v>
      </c>
      <c r="C1" s="7"/>
      <c r="D1" s="7"/>
    </row>
    <row r="2" spans="2:4" ht="22.35" customHeight="1" x14ac:dyDescent="0.3">
      <c r="B2" s="6" t="s">
        <v>404</v>
      </c>
      <c r="C2" s="6"/>
      <c r="D2" s="6"/>
    </row>
    <row r="4" spans="2:4" ht="17.25" customHeight="1" x14ac:dyDescent="0.3">
      <c r="B4" s="8" t="s">
        <v>320</v>
      </c>
      <c r="C4" s="8" t="s">
        <v>344</v>
      </c>
      <c r="D4" s="8" t="s">
        <v>345</v>
      </c>
    </row>
    <row r="5" spans="2:4" ht="17.25" customHeight="1" x14ac:dyDescent="0.3">
      <c r="B5" s="22" t="s">
        <v>346</v>
      </c>
      <c r="C5" s="9" t="s">
        <v>347</v>
      </c>
      <c r="D5" s="10" t="s">
        <v>348</v>
      </c>
    </row>
    <row r="6" spans="2:4" ht="17.25" customHeight="1" x14ac:dyDescent="0.3">
      <c r="B6" s="22" t="s">
        <v>349</v>
      </c>
      <c r="C6" s="9" t="s">
        <v>350</v>
      </c>
      <c r="D6" s="10" t="s">
        <v>351</v>
      </c>
    </row>
    <row r="7" spans="2:4" ht="17.25" customHeight="1" x14ac:dyDescent="0.3">
      <c r="B7" s="22" t="s">
        <v>352</v>
      </c>
      <c r="C7" s="9" t="s">
        <v>353</v>
      </c>
      <c r="D7" s="10" t="s">
        <v>419</v>
      </c>
    </row>
    <row r="8" spans="2:4" ht="17.25" customHeight="1" x14ac:dyDescent="0.3">
      <c r="B8" s="22" t="s">
        <v>354</v>
      </c>
      <c r="C8" s="9" t="s">
        <v>355</v>
      </c>
      <c r="D8" s="10" t="s">
        <v>356</v>
      </c>
    </row>
    <row r="9" spans="2:4" ht="17.25" customHeight="1" x14ac:dyDescent="0.3">
      <c r="B9" s="22" t="s">
        <v>357</v>
      </c>
      <c r="C9" s="9" t="s">
        <v>358</v>
      </c>
      <c r="D9" s="10" t="s">
        <v>359</v>
      </c>
    </row>
    <row r="10" spans="2:4" ht="30.75" customHeight="1" x14ac:dyDescent="0.3">
      <c r="B10" s="22" t="s">
        <v>360</v>
      </c>
      <c r="C10" s="9" t="s">
        <v>361</v>
      </c>
      <c r="D10" s="10" t="s">
        <v>362</v>
      </c>
    </row>
    <row r="11" spans="2:4" ht="17.25" customHeight="1" x14ac:dyDescent="0.3">
      <c r="B11" s="22" t="s">
        <v>363</v>
      </c>
      <c r="C11" s="9" t="s">
        <v>364</v>
      </c>
      <c r="D11" s="10" t="s">
        <v>365</v>
      </c>
    </row>
    <row r="12" spans="2:4" ht="30.75" customHeight="1" x14ac:dyDescent="0.3">
      <c r="B12" s="22" t="s">
        <v>366</v>
      </c>
      <c r="C12" s="9" t="s">
        <v>367</v>
      </c>
      <c r="D12" s="10" t="s">
        <v>368</v>
      </c>
    </row>
    <row r="13" spans="2:4" ht="44.25" customHeight="1" x14ac:dyDescent="0.3">
      <c r="B13" s="22" t="s">
        <v>369</v>
      </c>
      <c r="C13" s="9" t="s">
        <v>370</v>
      </c>
      <c r="D13" s="10" t="s">
        <v>371</v>
      </c>
    </row>
    <row r="14" spans="2:4" ht="17.25" customHeight="1" x14ac:dyDescent="0.3">
      <c r="B14" s="22" t="s">
        <v>372</v>
      </c>
      <c r="C14" s="9" t="s">
        <v>373</v>
      </c>
      <c r="D14" s="10" t="s">
        <v>374</v>
      </c>
    </row>
    <row r="15" spans="2:4" ht="17.25" customHeight="1" x14ac:dyDescent="0.3">
      <c r="B15" s="22" t="s">
        <v>375</v>
      </c>
      <c r="C15" s="9" t="s">
        <v>376</v>
      </c>
      <c r="D15" s="10" t="s">
        <v>377</v>
      </c>
    </row>
    <row r="16" spans="2:4" ht="17.25" customHeight="1" x14ac:dyDescent="0.3">
      <c r="B16" s="22" t="s">
        <v>378</v>
      </c>
      <c r="C16" s="9" t="s">
        <v>379</v>
      </c>
      <c r="D16" s="10" t="s">
        <v>380</v>
      </c>
    </row>
    <row r="17" spans="2:4" ht="17.25" customHeight="1" x14ac:dyDescent="0.3">
      <c r="B17" s="22" t="s">
        <v>381</v>
      </c>
      <c r="C17" s="9" t="s">
        <v>382</v>
      </c>
      <c r="D17" s="10" t="s">
        <v>383</v>
      </c>
    </row>
    <row r="18" spans="2:4" ht="30.75" customHeight="1" x14ac:dyDescent="0.3">
      <c r="B18" s="22" t="s">
        <v>384</v>
      </c>
      <c r="C18" s="9" t="s">
        <v>385</v>
      </c>
      <c r="D18" s="10" t="s">
        <v>386</v>
      </c>
    </row>
    <row r="19" spans="2:4" ht="17.25" customHeight="1" x14ac:dyDescent="0.3">
      <c r="B19" s="22" t="s">
        <v>387</v>
      </c>
      <c r="C19" s="9" t="s">
        <v>388</v>
      </c>
      <c r="D19" s="10" t="s">
        <v>389</v>
      </c>
    </row>
    <row r="20" spans="2:4" ht="17.25" customHeight="1" x14ac:dyDescent="0.3">
      <c r="B20" s="22" t="s">
        <v>390</v>
      </c>
      <c r="C20" s="9" t="s">
        <v>391</v>
      </c>
      <c r="D20" s="10" t="s">
        <v>149</v>
      </c>
    </row>
    <row r="21" spans="2:4" ht="17.25" customHeight="1" x14ac:dyDescent="0.3">
      <c r="B21" s="22" t="s">
        <v>392</v>
      </c>
      <c r="C21" s="9" t="s">
        <v>393</v>
      </c>
      <c r="D21" s="10" t="s">
        <v>420</v>
      </c>
    </row>
    <row r="22" spans="2:4" ht="17.25" customHeight="1" x14ac:dyDescent="0.3">
      <c r="B22" s="22" t="s">
        <v>394</v>
      </c>
      <c r="C22" s="9" t="s">
        <v>395</v>
      </c>
      <c r="D22" s="10" t="s">
        <v>396</v>
      </c>
    </row>
    <row r="23" spans="2:4" ht="17.25" customHeight="1" x14ac:dyDescent="0.3">
      <c r="B23" s="22" t="s">
        <v>397</v>
      </c>
      <c r="C23" s="9" t="s">
        <v>398</v>
      </c>
      <c r="D23" s="10" t="s">
        <v>399</v>
      </c>
    </row>
    <row r="24" spans="2:4" ht="17.25" customHeight="1" x14ac:dyDescent="0.3">
      <c r="B24" s="22" t="s">
        <v>400</v>
      </c>
      <c r="C24" s="9" t="s">
        <v>401</v>
      </c>
      <c r="D24" s="10" t="s">
        <v>402</v>
      </c>
    </row>
  </sheetData>
  <mergeCells count="2">
    <mergeCell ref="B1:D1"/>
    <mergeCell ref="B2:D2"/>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Hướng dẫn</vt:lpstr>
      <vt:lpstr>Dashboard</vt:lpstr>
      <vt:lpstr>RequirementsList</vt:lpstr>
      <vt:lpstr>User Stories</vt:lpstr>
      <vt:lpstr>RTM</vt:lpstr>
      <vt:lpstr>Open Questions</vt:lpstr>
      <vt:lpstr>CR management</vt:lpstr>
      <vt:lpstr>CR01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Lê Văn Mạnh</cp:lastModifiedBy>
  <cp:revision>0</cp:revision>
  <dcterms:created xsi:type="dcterms:W3CDTF">2026-10-23T07:34:54Z</dcterms:created>
  <dcterms:modified xsi:type="dcterms:W3CDTF">2026-10-23T08:46:08Z</dcterms:modified>
  <dc:language>en-US</dc:language>
</cp:coreProperties>
</file>